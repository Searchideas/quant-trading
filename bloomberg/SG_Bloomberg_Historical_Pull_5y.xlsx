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iji\Desktop\Python Project\Quant Learning Journey\quant-trading\bloomberg\"/>
    </mc:Choice>
  </mc:AlternateContent>
  <xr:revisionPtr revIDLastSave="0" documentId="13_ncr:1_{C8140D13-B213-4CDB-93E6-8C957C8D1CB2}" xr6:coauthVersionLast="47" xr6:coauthVersionMax="47" xr10:uidLastSave="{00000000-0000-0000-0000-000000000000}"/>
  <bookViews>
    <workbookView xWindow="-98" yWindow="-98" windowWidth="21795" windowHeight="12975" firstSheet="2" activeTab="8" xr2:uid="{00000000-000D-0000-FFFF-FFFF00000000}"/>
  </bookViews>
  <sheets>
    <sheet name="README" sheetId="1" r:id="rId1"/>
    <sheet name="Control" sheetId="2" r:id="rId2"/>
    <sheet name="Universe" sheetId="3" r:id="rId3"/>
    <sheet name="Prices" sheetId="4" r:id="rId4"/>
    <sheet name="Prices_Notes" sheetId="5" r:id="rId5"/>
    <sheet name="Book" sheetId="6" r:id="rId6"/>
    <sheet name="Book_Notes" sheetId="7" r:id="rId7"/>
    <sheet name="Categories" sheetId="8" r:id="rId8"/>
    <sheet name="Categories_Notes" sheetId="9" r:id="rId9"/>
    <sheet name="Dividends" sheetId="10" r:id="rId10"/>
    <sheet name="Dividend_Tickers" sheetId="11" r:id="rId11"/>
    <sheet name="Export_Checklis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0" l="1"/>
  <c r="B4" i="10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B71" i="8"/>
  <c r="C70" i="8"/>
  <c r="B70" i="8"/>
  <c r="C69" i="8"/>
  <c r="B69" i="8"/>
  <c r="C68" i="8"/>
  <c r="B68" i="8"/>
  <c r="C67" i="8"/>
  <c r="B67" i="8"/>
  <c r="C66" i="8"/>
  <c r="B66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A2" i="6"/>
  <c r="CB2" i="4"/>
  <c r="CA2" i="4"/>
  <c r="BZ2" i="4"/>
  <c r="BY2" i="4"/>
  <c r="BX2" i="4"/>
  <c r="BW2" i="4"/>
  <c r="BV2" i="4"/>
  <c r="BU2" i="4"/>
  <c r="BT2" i="4"/>
  <c r="BS2" i="4"/>
  <c r="BR2" i="4"/>
  <c r="BQ2" i="4"/>
  <c r="BP2" i="4"/>
  <c r="BO2" i="4"/>
  <c r="BN2" i="4"/>
  <c r="BM2" i="4"/>
  <c r="BL2" i="4"/>
  <c r="BK2" i="4"/>
  <c r="BJ2" i="4"/>
  <c r="BI2" i="4"/>
  <c r="BH2" i="4"/>
  <c r="BG2" i="4"/>
  <c r="BF2" i="4"/>
  <c r="BE2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A2" i="4"/>
  <c r="G81" i="3"/>
  <c r="F81" i="3"/>
  <c r="E81" i="3"/>
  <c r="D81" i="3"/>
  <c r="G80" i="3"/>
  <c r="F80" i="3"/>
  <c r="E80" i="3"/>
  <c r="D80" i="3"/>
  <c r="G79" i="3"/>
  <c r="F79" i="3"/>
  <c r="E79" i="3"/>
  <c r="D79" i="3"/>
  <c r="G78" i="3"/>
  <c r="F78" i="3"/>
  <c r="E78" i="3"/>
  <c r="D78" i="3"/>
  <c r="G77" i="3"/>
  <c r="F77" i="3"/>
  <c r="E77" i="3"/>
  <c r="D77" i="3"/>
  <c r="G76" i="3"/>
  <c r="F76" i="3"/>
  <c r="E76" i="3"/>
  <c r="D76" i="3"/>
  <c r="G75" i="3"/>
  <c r="F75" i="3"/>
  <c r="E75" i="3"/>
  <c r="D75" i="3"/>
  <c r="G74" i="3"/>
  <c r="F74" i="3"/>
  <c r="E74" i="3"/>
  <c r="D74" i="3"/>
  <c r="G73" i="3"/>
  <c r="F73" i="3"/>
  <c r="E73" i="3"/>
  <c r="D73" i="3"/>
  <c r="G72" i="3"/>
  <c r="F72" i="3"/>
  <c r="E72" i="3"/>
  <c r="D72" i="3"/>
  <c r="G71" i="3"/>
  <c r="F71" i="3"/>
  <c r="E71" i="3"/>
  <c r="D71" i="3"/>
  <c r="G70" i="3"/>
  <c r="F70" i="3"/>
  <c r="E70" i="3"/>
  <c r="D70" i="3"/>
  <c r="G69" i="3"/>
  <c r="F69" i="3"/>
  <c r="E69" i="3"/>
  <c r="D69" i="3"/>
  <c r="G68" i="3"/>
  <c r="F68" i="3"/>
  <c r="E68" i="3"/>
  <c r="D68" i="3"/>
  <c r="G67" i="3"/>
  <c r="F67" i="3"/>
  <c r="E67" i="3"/>
  <c r="D67" i="3"/>
  <c r="G66" i="3"/>
  <c r="F66" i="3"/>
  <c r="E66" i="3"/>
  <c r="D66" i="3"/>
  <c r="G65" i="3"/>
  <c r="F65" i="3"/>
  <c r="E65" i="3"/>
  <c r="D65" i="3"/>
  <c r="G64" i="3"/>
  <c r="F64" i="3"/>
  <c r="E64" i="3"/>
  <c r="D64" i="3"/>
  <c r="G63" i="3"/>
  <c r="F63" i="3"/>
  <c r="E63" i="3"/>
  <c r="D63" i="3"/>
  <c r="G62" i="3"/>
  <c r="F62" i="3"/>
  <c r="E62" i="3"/>
  <c r="D62" i="3"/>
  <c r="G61" i="3"/>
  <c r="F61" i="3"/>
  <c r="E61" i="3"/>
  <c r="D61" i="3"/>
  <c r="G60" i="3"/>
  <c r="F60" i="3"/>
  <c r="E60" i="3"/>
  <c r="D60" i="3"/>
  <c r="G59" i="3"/>
  <c r="F59" i="3"/>
  <c r="E59" i="3"/>
  <c r="D59" i="3"/>
  <c r="G58" i="3"/>
  <c r="F58" i="3"/>
  <c r="E58" i="3"/>
  <c r="D58" i="3"/>
  <c r="G57" i="3"/>
  <c r="F57" i="3"/>
  <c r="E57" i="3"/>
  <c r="D57" i="3"/>
  <c r="G56" i="3"/>
  <c r="F56" i="3"/>
  <c r="E56" i="3"/>
  <c r="D56" i="3"/>
  <c r="G55" i="3"/>
  <c r="F55" i="3"/>
  <c r="E55" i="3"/>
  <c r="D55" i="3"/>
  <c r="G54" i="3"/>
  <c r="F54" i="3"/>
  <c r="E54" i="3"/>
  <c r="D54" i="3"/>
  <c r="G53" i="3"/>
  <c r="F53" i="3"/>
  <c r="E53" i="3"/>
  <c r="D53" i="3"/>
  <c r="G52" i="3"/>
  <c r="F52" i="3"/>
  <c r="E52" i="3"/>
  <c r="D52" i="3"/>
  <c r="G51" i="3"/>
  <c r="F51" i="3"/>
  <c r="E51" i="3"/>
  <c r="D51" i="3"/>
  <c r="G50" i="3"/>
  <c r="F50" i="3"/>
  <c r="E50" i="3"/>
  <c r="D50" i="3"/>
  <c r="G49" i="3"/>
  <c r="F49" i="3"/>
  <c r="E49" i="3"/>
  <c r="D49" i="3"/>
  <c r="G48" i="3"/>
  <c r="F48" i="3"/>
  <c r="E48" i="3"/>
  <c r="D48" i="3"/>
  <c r="G47" i="3"/>
  <c r="F47" i="3"/>
  <c r="E47" i="3"/>
  <c r="D47" i="3"/>
  <c r="G46" i="3"/>
  <c r="F46" i="3"/>
  <c r="E46" i="3"/>
  <c r="D46" i="3"/>
  <c r="G45" i="3"/>
  <c r="F45" i="3"/>
  <c r="E45" i="3"/>
  <c r="D45" i="3"/>
  <c r="G44" i="3"/>
  <c r="F44" i="3"/>
  <c r="E44" i="3"/>
  <c r="D44" i="3"/>
  <c r="G43" i="3"/>
  <c r="F43" i="3"/>
  <c r="E43" i="3"/>
  <c r="D43" i="3"/>
  <c r="G42" i="3"/>
  <c r="F42" i="3"/>
  <c r="E42" i="3"/>
  <c r="D42" i="3"/>
  <c r="G41" i="3"/>
  <c r="F41" i="3"/>
  <c r="E41" i="3"/>
  <c r="D41" i="3"/>
  <c r="G40" i="3"/>
  <c r="F40" i="3"/>
  <c r="E40" i="3"/>
  <c r="D40" i="3"/>
  <c r="G39" i="3"/>
  <c r="F39" i="3"/>
  <c r="E39" i="3"/>
  <c r="D39" i="3"/>
  <c r="G38" i="3"/>
  <c r="F38" i="3"/>
  <c r="E38" i="3"/>
  <c r="D38" i="3"/>
  <c r="G37" i="3"/>
  <c r="F37" i="3"/>
  <c r="E37" i="3"/>
  <c r="D37" i="3"/>
  <c r="G36" i="3"/>
  <c r="F36" i="3"/>
  <c r="E36" i="3"/>
  <c r="D36" i="3"/>
  <c r="G35" i="3"/>
  <c r="F35" i="3"/>
  <c r="E35" i="3"/>
  <c r="D35" i="3"/>
  <c r="G34" i="3"/>
  <c r="F34" i="3"/>
  <c r="E34" i="3"/>
  <c r="D34" i="3"/>
  <c r="G33" i="3"/>
  <c r="F33" i="3"/>
  <c r="E33" i="3"/>
  <c r="D33" i="3"/>
  <c r="G32" i="3"/>
  <c r="F32" i="3"/>
  <c r="E32" i="3"/>
  <c r="D32" i="3"/>
  <c r="G31" i="3"/>
  <c r="F31" i="3"/>
  <c r="E31" i="3"/>
  <c r="D31" i="3"/>
  <c r="G30" i="3"/>
  <c r="F30" i="3"/>
  <c r="E30" i="3"/>
  <c r="D30" i="3"/>
  <c r="G29" i="3"/>
  <c r="F29" i="3"/>
  <c r="E29" i="3"/>
  <c r="D29" i="3"/>
  <c r="G28" i="3"/>
  <c r="F28" i="3"/>
  <c r="E28" i="3"/>
  <c r="D28" i="3"/>
  <c r="G27" i="3"/>
  <c r="F27" i="3"/>
  <c r="E27" i="3"/>
  <c r="D27" i="3"/>
  <c r="G26" i="3"/>
  <c r="F26" i="3"/>
  <c r="E26" i="3"/>
  <c r="D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G10" i="3"/>
  <c r="F10" i="3"/>
  <c r="E10" i="3"/>
  <c r="D10" i="3"/>
  <c r="G9" i="3"/>
  <c r="F9" i="3"/>
  <c r="E9" i="3"/>
  <c r="D9" i="3"/>
  <c r="G8" i="3"/>
  <c r="F8" i="3"/>
  <c r="E8" i="3"/>
  <c r="D8" i="3"/>
  <c r="G7" i="3"/>
  <c r="F7" i="3"/>
  <c r="E7" i="3"/>
  <c r="D7" i="3"/>
  <c r="G6" i="3"/>
  <c r="F6" i="3"/>
  <c r="E6" i="3"/>
  <c r="D6" i="3"/>
  <c r="G5" i="3"/>
  <c r="F5" i="3"/>
  <c r="E5" i="3"/>
  <c r="D5" i="3"/>
  <c r="G4" i="3"/>
  <c r="F4" i="3"/>
  <c r="E4" i="3"/>
  <c r="D4" i="3"/>
  <c r="G3" i="3"/>
  <c r="F3" i="3"/>
  <c r="E3" i="3"/>
  <c r="D3" i="3"/>
  <c r="G2" i="3"/>
  <c r="F2" i="3"/>
  <c r="E2" i="3"/>
  <c r="D2" i="3"/>
  <c r="B3" i="2"/>
  <c r="B2" i="2"/>
</calcChain>
</file>

<file path=xl/sharedStrings.xml><?xml version="1.0" encoding="utf-8"?>
<sst xmlns="http://schemas.openxmlformats.org/spreadsheetml/2006/main" count="761" uniqueCount="281">
  <si>
    <t>SG Bloomberg Historical Pull — Quant Trading</t>
  </si>
  <si>
    <t>Purpose</t>
  </si>
  <si>
    <t>Pull SGX history from Bloomberg into the 4 CSV layouts this project needs under data/sg/raw/, then run: python main.py --market sg --skip-download</t>
  </si>
  <si>
    <t>Sheets</t>
  </si>
  <si>
    <t>1. Control — start/end dates and pull settings (edit these first)</t>
  </si>
  <si>
    <t>2. Universe — Yahoo .SI tickers ↔ Bloomberg SP Equity codes</t>
  </si>
  <si>
    <t>3. Prices — daily adjusted PX_LAST (→ price_data.csv)</t>
  </si>
  <si>
    <t>4. Book — quarterly BOOK_VAL_PER_SH (→ book_data.csv)</t>
  </si>
  <si>
    <t>5. Categories — sector + market cap BDP (→ categorizations_data.csv)</t>
  </si>
  <si>
    <t>6. Dividends — per-ticker DVD_HIST pull helper (→ dividend_data.csv)</t>
  </si>
  <si>
    <t>7. Export_Checklist — save-as-CSV steps</t>
  </si>
  <si>
    <t>How to refresh (Bloomberg Terminal PC)</t>
  </si>
  <si>
    <t>1. Open this file in Excel with Bloomberg Add-in logged in</t>
  </si>
  <si>
    <t>2. Edit Control!B2 (Start) and Control!B3 (End)</t>
  </si>
  <si>
    <t>3. Press Bloomberg → Refresh Workbook (or wait for auto-refresh)</t>
  </si>
  <si>
    <t>4. Follow Export_Checklist, then run bloomberg/bbg_to_csv.py</t>
  </si>
  <si>
    <t>Field mapping</t>
  </si>
  <si>
    <t>Prices: PX_LAST with CshAdjNormal=Y, CshAdjAbnormal=Y, CapChg=Y (≈ Yahoo auto_adjust)</t>
  </si>
  <si>
    <t>Book: BOOK_VAL_PER_SH, quarterly (BQ)</t>
  </si>
  <si>
    <t>Categories: GICS_SECTOR_NAME + CUR_MKT_CAP</t>
  </si>
  <si>
    <t>Dividends: DVD_HIST_ALL → Ex-Date + Dividend Amount (cash DPS, not yield)</t>
  </si>
  <si>
    <t>Notes</t>
  </si>
  <si>
    <t>Column headers stay as Yahoo .SI names so CSVs drop straight into the pipeline.</t>
  </si>
  <si>
    <t>Benchmark ES3.SI is on Universe for reference; strategy downloads it separately.</t>
  </si>
  <si>
    <t>TA-Lib / OHLCV not required — this project uses adjusted close only.</t>
  </si>
  <si>
    <t>Parameter</t>
  </si>
  <si>
    <t>Value</t>
  </si>
  <si>
    <t>StartDate</t>
  </si>
  <si>
    <t>Rolling 5 years (60 months). Hardcode e.g. 2021-09-01 to match config if preferred.</t>
  </si>
  <si>
    <t>EndDate</t>
  </si>
  <si>
    <t>Leave as TODAY()-1 or hardcode e.g. 2026-09-04</t>
  </si>
  <si>
    <t>PriceField</t>
  </si>
  <si>
    <t>PX_LAST</t>
  </si>
  <si>
    <t>Adjusted via BDH overrides on Prices sheet</t>
  </si>
  <si>
    <t>BookField</t>
  </si>
  <si>
    <t>BOOK_VAL_PER_SH</t>
  </si>
  <si>
    <t>Quarterly book value per share</t>
  </si>
  <si>
    <t>BookPeriod</t>
  </si>
  <si>
    <t>BQ</t>
  </si>
  <si>
    <t>Bloomberg quarterly periodicity</t>
  </si>
  <si>
    <t>PricePeriod</t>
  </si>
  <si>
    <t>D</t>
  </si>
  <si>
    <t>Daily</t>
  </si>
  <si>
    <t>Currency</t>
  </si>
  <si>
    <t>SGD</t>
  </si>
  <si>
    <t>Informational</t>
  </si>
  <si>
    <t>Exchange</t>
  </si>
  <si>
    <t>SP / SGX</t>
  </si>
  <si>
    <t>Bloomberg yellow-key Equity, SGX</t>
  </si>
  <si>
    <t>OutputFolder</t>
  </si>
  <si>
    <t>C:\Users\taiji\Desktop\Python Project\Quant Learning Journey\quant-trading\data\sg\raw</t>
  </si>
  <si>
    <t>Where CSVs should land</t>
  </si>
  <si>
    <t>BDH price overrides (already embedded in Prices formulas)</t>
  </si>
  <si>
    <t>CshAdjNormal=Y | CshAdjAbnormal=Y | CapChg=Y | Dir=V | Dts=S | Sort=A | Fill=P | Days=A</t>
  </si>
  <si>
    <t>YahooTicker</t>
  </si>
  <si>
    <t>BloombergTicker</t>
  </si>
  <si>
    <t>Include</t>
  </si>
  <si>
    <t>Name_BDP</t>
  </si>
  <si>
    <t>Last_BDP</t>
  </si>
  <si>
    <t>Sector_BDP</t>
  </si>
  <si>
    <t>MktCap_BDP</t>
  </si>
  <si>
    <t>D05.SI</t>
  </si>
  <si>
    <t>D05 SP Equity</t>
  </si>
  <si>
    <t>YES</t>
  </si>
  <si>
    <t>O39.SI</t>
  </si>
  <si>
    <t>O39 SP Equity</t>
  </si>
  <si>
    <t>Z74.SI</t>
  </si>
  <si>
    <t>Z74 SP Equity</t>
  </si>
  <si>
    <t>U11.SI</t>
  </si>
  <si>
    <t>U11 SP Equity</t>
  </si>
  <si>
    <t>S63.SI</t>
  </si>
  <si>
    <t>S63 SP Equity</t>
  </si>
  <si>
    <t>S68.SI</t>
  </si>
  <si>
    <t>S68 SP Equity</t>
  </si>
  <si>
    <t>J36.SI</t>
  </si>
  <si>
    <t>J36 SP Equity</t>
  </si>
  <si>
    <t>C6L.SI</t>
  </si>
  <si>
    <t>C6L SP Equity</t>
  </si>
  <si>
    <t>F34.SI</t>
  </si>
  <si>
    <t>F34 SP Equity</t>
  </si>
  <si>
    <t>H78.SI</t>
  </si>
  <si>
    <t>H78 SP Equity</t>
  </si>
  <si>
    <t>BN4.SI</t>
  </si>
  <si>
    <t>BN4 SP Equity</t>
  </si>
  <si>
    <t>C38U.SI</t>
  </si>
  <si>
    <t>C38U SP Equity</t>
  </si>
  <si>
    <t>U14.SI</t>
  </si>
  <si>
    <t>U14 SP Equity</t>
  </si>
  <si>
    <t>5E2.SI</t>
  </si>
  <si>
    <t>5E2 SP Equity</t>
  </si>
  <si>
    <t>G13.SI</t>
  </si>
  <si>
    <t>G13 SP Equity</t>
  </si>
  <si>
    <t>S58.SI</t>
  </si>
  <si>
    <t>S58 SP Equity</t>
  </si>
  <si>
    <t>N2IU.SI</t>
  </si>
  <si>
    <t>N2IU SP Equity</t>
  </si>
  <si>
    <t>C09.SI</t>
  </si>
  <si>
    <t>C09 SP Equity</t>
  </si>
  <si>
    <t>D01.SI</t>
  </si>
  <si>
    <t>D01 SP Equity</t>
  </si>
  <si>
    <t>M44U.SI</t>
  </si>
  <si>
    <t>M44U SP Equity</t>
  </si>
  <si>
    <t>EB5.SI</t>
  </si>
  <si>
    <t>EB5 SP Equity</t>
  </si>
  <si>
    <t>ME8U.SI</t>
  </si>
  <si>
    <t>ME8U SP Equity</t>
  </si>
  <si>
    <t>AJBU.SI</t>
  </si>
  <si>
    <t>AJBU SP Equity</t>
  </si>
  <si>
    <t>VC2.SI</t>
  </si>
  <si>
    <t>VC2 SP Equity</t>
  </si>
  <si>
    <t>U06.SI</t>
  </si>
  <si>
    <t>U06 SP Equity</t>
  </si>
  <si>
    <t>OV8.SI</t>
  </si>
  <si>
    <t>OV8 SP Equity</t>
  </si>
  <si>
    <t>V03.SI</t>
  </si>
  <si>
    <t>V03 SP Equity</t>
  </si>
  <si>
    <t>J69U.SI</t>
  </si>
  <si>
    <t>J69U SP Equity</t>
  </si>
  <si>
    <t>T82U.SI</t>
  </si>
  <si>
    <t>T82U SP Equity</t>
  </si>
  <si>
    <t>K71U.SI</t>
  </si>
  <si>
    <t>K71U SP Equity</t>
  </si>
  <si>
    <t>U10.SI</t>
  </si>
  <si>
    <t>U10 SP Equity</t>
  </si>
  <si>
    <t>TQ5.SI</t>
  </si>
  <si>
    <t>TQ5 SP Equity</t>
  </si>
  <si>
    <t>CJL.SI</t>
  </si>
  <si>
    <t>CJL SP Equity</t>
  </si>
  <si>
    <t>BUOU.SI</t>
  </si>
  <si>
    <t>BUOU SP Equity</t>
  </si>
  <si>
    <t>S59.SI</t>
  </si>
  <si>
    <t>S59 SP Equity</t>
  </si>
  <si>
    <t>E5H.SI</t>
  </si>
  <si>
    <t>E5H SP Equity</t>
  </si>
  <si>
    <t>H02.SI</t>
  </si>
  <si>
    <t>H02 SP Equity</t>
  </si>
  <si>
    <t>HMN.SI</t>
  </si>
  <si>
    <t>HMN SP Equity</t>
  </si>
  <si>
    <t>A7RU.SI</t>
  </si>
  <si>
    <t>A7RU SP Equity</t>
  </si>
  <si>
    <t>P8Z.SI</t>
  </si>
  <si>
    <t>P8Z SP Equity</t>
  </si>
  <si>
    <t>C52.SI</t>
  </si>
  <si>
    <t>C52 SP Equity</t>
  </si>
  <si>
    <t>AWX.SI</t>
  </si>
  <si>
    <t>AWX SP Equity</t>
  </si>
  <si>
    <t>AIY.SI</t>
  </si>
  <si>
    <t>AIY SP Equity</t>
  </si>
  <si>
    <t>C2PU.SI</t>
  </si>
  <si>
    <t>C2PU SP Equity</t>
  </si>
  <si>
    <t>F17.SI</t>
  </si>
  <si>
    <t>F17 SP Equity</t>
  </si>
  <si>
    <t>H15.SI</t>
  </si>
  <si>
    <t>H15 SP Equity</t>
  </si>
  <si>
    <t>H22.SI</t>
  </si>
  <si>
    <t>H22 SP Equity</t>
  </si>
  <si>
    <t>558.SI</t>
  </si>
  <si>
    <t>558 SP Equity</t>
  </si>
  <si>
    <t>NS8U.SI</t>
  </si>
  <si>
    <t>NS8U SP Equity</t>
  </si>
  <si>
    <t>8Y.SI</t>
  </si>
  <si>
    <t>8Y SP Equity</t>
  </si>
  <si>
    <t>F99.SI</t>
  </si>
  <si>
    <t>F99 SP Equity</t>
  </si>
  <si>
    <t>TS0U.SI</t>
  </si>
  <si>
    <t>TS0U SP Equity</t>
  </si>
  <si>
    <t>9A4U.SI</t>
  </si>
  <si>
    <t>9A4U SP Equity</t>
  </si>
  <si>
    <t>8C8U.SI</t>
  </si>
  <si>
    <t>8C8U SP Equity</t>
  </si>
  <si>
    <t>SEB.SI</t>
  </si>
  <si>
    <t>SEB SP Equity</t>
  </si>
  <si>
    <t>Z25.SI</t>
  </si>
  <si>
    <t>Z25 SP Equity</t>
  </si>
  <si>
    <t>AP4.SI</t>
  </si>
  <si>
    <t>AP4 SP Equity</t>
  </si>
  <si>
    <t>P40U.SI</t>
  </si>
  <si>
    <t>P40U SP Equity</t>
  </si>
  <si>
    <t>B61.SI</t>
  </si>
  <si>
    <t>B61 SP Equity</t>
  </si>
  <si>
    <t>NTDU.SI</t>
  </si>
  <si>
    <t>NTDU SP Equity</t>
  </si>
  <si>
    <t>W05.SI</t>
  </si>
  <si>
    <t>W05 SP Equity</t>
  </si>
  <si>
    <t>Q5T.SI</t>
  </si>
  <si>
    <t>Q5T SP Equity</t>
  </si>
  <si>
    <t>BEC.SI</t>
  </si>
  <si>
    <t>BEC SP Equity</t>
  </si>
  <si>
    <t>E28.SI</t>
  </si>
  <si>
    <t>E28 SP Equity</t>
  </si>
  <si>
    <t>UIBU.SI</t>
  </si>
  <si>
    <t>UIBU SP Equity</t>
  </si>
  <si>
    <t>AU8U.SI</t>
  </si>
  <si>
    <t>AU8U SP Equity</t>
  </si>
  <si>
    <t>P52.SI</t>
  </si>
  <si>
    <t>P52 SP Equity</t>
  </si>
  <si>
    <t>S41.SI</t>
  </si>
  <si>
    <t>S41 SP Equity</t>
  </si>
  <si>
    <t>S61.SI</t>
  </si>
  <si>
    <t>S61 SP Equity</t>
  </si>
  <si>
    <t>PCT.SI</t>
  </si>
  <si>
    <t>PCT SP Equity</t>
  </si>
  <si>
    <t>ADN.SI</t>
  </si>
  <si>
    <t>ADN SP Equity</t>
  </si>
  <si>
    <t>F9D.SI</t>
  </si>
  <si>
    <t>F9D SP Equity</t>
  </si>
  <si>
    <t>FHH.SI</t>
  </si>
  <si>
    <t>FHH SP Equity</t>
  </si>
  <si>
    <t>J85.SI</t>
  </si>
  <si>
    <t>J85 SP Equity</t>
  </si>
  <si>
    <t>T6I.SI</t>
  </si>
  <si>
    <t>T6I SP Equity</t>
  </si>
  <si>
    <t>RE4.SI</t>
  </si>
  <si>
    <t>RE4 SP Equity</t>
  </si>
  <si>
    <t>544.SI</t>
  </si>
  <si>
    <t>544 SP Equity</t>
  </si>
  <si>
    <t>CRPU.SI</t>
  </si>
  <si>
    <t>CRPU SP Equity</t>
  </si>
  <si>
    <t>DCRU.SI</t>
  </si>
  <si>
    <t>DCRU SP Equity</t>
  </si>
  <si>
    <t>ES3.SI</t>
  </si>
  <si>
    <t>ES3 SP Equity</t>
  </si>
  <si>
    <t>BENCH</t>
  </si>
  <si>
    <t>Date</t>
  </si>
  <si>
    <t>Prices sheet notes</t>
  </si>
  <si>
    <t>After Bloomberg refresh:</t>
  </si>
  <si>
    <t>• Cell A2 spills TWO columns: Date (col A) + first ticker values (col B).</t>
  </si>
  <si>
    <t>• Columns C onward spill VALUES only (Dts=H) aligned to the same date rows.</t>
  </si>
  <si>
    <t>• If a column shows #N/A or partial history, check the Bloomberg code on Universe.</t>
  </si>
  <si>
    <t>• Do NOT change row-1 headers — they must stay Yahoo .SI names for the converter.</t>
  </si>
  <si>
    <t>• When export is ready: copy Prices → Paste Special Values into a new book, Save As CSV UTF-8,</t>
  </si>
  <si>
    <t xml:space="preserve">  or run: python bloomberg/bbg_to_csv.py --xlsx SG_Bloomberg_Historical_Pull.xlsx</t>
  </si>
  <si>
    <t>• Fill=P carries prices over non-trading days; Days=A = all calendar days.</t>
  </si>
  <si>
    <t xml:space="preserve">  If you prefer exchange trading days only, remove Days=A from the BDH formulas.</t>
  </si>
  <si>
    <t>Book sheet notes</t>
  </si>
  <si>
    <t>Field: BOOK_VAL_PER_SH (Control!B5), Period: BQ (Control!B6).</t>
  </si>
  <si>
    <t>Same spill layout as Prices: A2 = Date|first ticker; C+ = values only.</t>
  </si>
  <si>
    <t>If BOOK_VAL_PER_SH is blank for REITs, try BOOK_VAL_PER_SH / FUND_NET_ASSET_VAL as fallback on Universe.</t>
  </si>
  <si>
    <t>Quarterly dates (period ends) are fine — the pipeline forward-fills onto daily prices.</t>
  </si>
  <si>
    <t>Ticker</t>
  </si>
  <si>
    <t>sector</t>
  </si>
  <si>
    <t>market_cap</t>
  </si>
  <si>
    <t>Categories notes</t>
  </si>
  <si>
    <t>Export this sheet as categorizations_data.csv (headers: Ticker,sector,market_cap).</t>
  </si>
  <si>
    <t>If GICS_SECTOR_NAME is empty, switch formula to INDUSTRY_SECTOR or CLASSIFICATION_LEVEL_1_NAME.</t>
  </si>
  <si>
    <t>market_cap should be absolute CUR_MKT_CAP (same units across names).</t>
  </si>
  <si>
    <t>Dividend pull helper (one ticker at a time)</t>
  </si>
  <si>
    <t>SelectYahoo</t>
  </si>
  <si>
    <t>History formula (paste below)</t>
  </si>
  <si>
    <t>Instructions</t>
  </si>
  <si>
    <t>1. Change B3 to a Yahoo ticker (e.g. D05.SI).</t>
  </si>
  <si>
    <t>2. Refresh — BDS spills Ex Date / Dividend Amount / Dividend Type / etc.</t>
  </si>
  <si>
    <t>3. Copy Ex-Date + Dividend Amount for each ticker into a long table:</t>
  </si>
  <si>
    <t xml:space="preserve">   Date,Ticker,DPS</t>
  </si>
  <si>
    <t>4. Run bbg_to_csv.py — it pivots long dividends into wide dividend_data.csv.</t>
  </si>
  <si>
    <t>Optional bulk: use Bloomberg Excel Template Library → Dividend History, then map columns.</t>
  </si>
  <si>
    <t>Long_Table_Headers →</t>
  </si>
  <si>
    <t>DPS</t>
  </si>
  <si>
    <t>Paste rows starting at B18 (Date | YahooTicker | Dividend Amount)</t>
  </si>
  <si>
    <t>Pulled?</t>
  </si>
  <si>
    <t>Export checklist → data/sg/raw/</t>
  </si>
  <si>
    <t>After all sheets show numbers (not #N/A Requesting Data...):</t>
  </si>
  <si>
    <t>Option A — Automated (recommended)</t>
  </si>
  <si>
    <t xml:space="preserve">  1. Save this workbook (formulas calculated / values cached).</t>
  </si>
  <si>
    <t xml:space="preserve">  2. In Excel: File → Save As → Excel Workbook (keep .xlsx).</t>
  </si>
  <si>
    <t xml:space="preserve">  3. Optional: copy Prices/Book/Categories and Paste Values to freeze.</t>
  </si>
  <si>
    <t xml:space="preserve">  4. Run:</t>
  </si>
  <si>
    <t xml:space="preserve">       python bloomberg/bbg_to_csv.py --xlsx bloomberg/SG_Bloomberg_Historical_Pull.xlsx</t>
  </si>
  <si>
    <t xml:space="preserve">  5. Confirm files appear in data/sg/raw/:</t>
  </si>
  <si>
    <t xml:space="preserve">       price_data.csv, book_data.csv, categorizations_data.csv [, dividend_data.csv]</t>
  </si>
  <si>
    <t xml:space="preserve">  6. Run pipeline:</t>
  </si>
  <si>
    <t xml:space="preserve">       python main.py --market sg --skip-download</t>
  </si>
  <si>
    <t>Option B — Manual CSV</t>
  </si>
  <si>
    <t xml:space="preserve">  Prices → Save As CSV → rename price_data.csv</t>
  </si>
  <si>
    <t xml:space="preserve">  Book → Save As CSV → rename book_data.csv</t>
  </si>
  <si>
    <t xml:space="preserve">  Categories → Save As CSV → rename categorizations_data.csv</t>
  </si>
  <si>
    <t xml:space="preserve">  Dividends long table → keep Date,Ticker,DPS and let bbg_to_csv.py pivot</t>
  </si>
  <si>
    <t>Validation</t>
  </si>
  <si>
    <t xml:space="preserve">  • price_data.csv first column name = Date</t>
  </si>
  <si>
    <t xml:space="preserve">  • Other headers = Yahoo .SI tickers (D05.SI not D05 SP Equity)</t>
  </si>
  <si>
    <t xml:space="preserve">  • categorizations_data.csv columns = Ticker,sector,market_cap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</si>
</sst>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0D7377"/>
      </patternFill>
    </fill>
    <fill>
      <patternFill patternType="solid">
        <fgColor rgb="FF6B3FA0"/>
      </patternFill>
    </fill>
    <fill>
      <patternFill patternType="solid">
        <fgColor rgb="FFC45C26"/>
      </patternFill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wrapTex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5" fillId="0" borderId="0" xfId="0" applyFont="1"/>
    <xf numFmtId="0" fontId="4" fillId="5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opLeftCell="A15" workbookViewId="0">
      <selection activeCell="A11" sqref="A11"/>
    </sheetView>
  </sheetViews>
  <sheetFormatPr defaultRowHeight="14.25" x14ac:dyDescent="0.45"/>
  <cols>
    <col min="1" max="1" width="110" customWidth="1"/>
  </cols>
  <sheetData>
    <row r="1" spans="1:1" ht="15.75" x14ac:dyDescent="0.5">
      <c r="A1" s="1" t="s">
        <v>0</v>
      </c>
    </row>
    <row r="2" spans="1:1" x14ac:dyDescent="0.45">
      <c r="A2" s="2"/>
    </row>
    <row r="3" spans="1:1" x14ac:dyDescent="0.45">
      <c r="A3" s="3" t="s">
        <v>1</v>
      </c>
    </row>
    <row r="4" spans="1:1" x14ac:dyDescent="0.45">
      <c r="A4" s="2" t="s">
        <v>2</v>
      </c>
    </row>
    <row r="5" spans="1:1" x14ac:dyDescent="0.45">
      <c r="A5" s="2"/>
    </row>
    <row r="6" spans="1:1" x14ac:dyDescent="0.45">
      <c r="A6" s="3" t="s">
        <v>3</v>
      </c>
    </row>
    <row r="7" spans="1:1" x14ac:dyDescent="0.45">
      <c r="A7" s="2" t="s">
        <v>4</v>
      </c>
    </row>
    <row r="8" spans="1:1" x14ac:dyDescent="0.45">
      <c r="A8" s="2" t="s">
        <v>5</v>
      </c>
    </row>
    <row r="9" spans="1:1" x14ac:dyDescent="0.45">
      <c r="A9" s="2" t="s">
        <v>6</v>
      </c>
    </row>
    <row r="10" spans="1:1" x14ac:dyDescent="0.45">
      <c r="A10" s="2" t="s">
        <v>7</v>
      </c>
    </row>
    <row r="11" spans="1:1" x14ac:dyDescent="0.45">
      <c r="A11" s="2" t="s">
        <v>8</v>
      </c>
    </row>
    <row r="12" spans="1:1" x14ac:dyDescent="0.45">
      <c r="A12" s="2" t="s">
        <v>9</v>
      </c>
    </row>
    <row r="13" spans="1:1" x14ac:dyDescent="0.45">
      <c r="A13" s="2" t="s">
        <v>10</v>
      </c>
    </row>
    <row r="14" spans="1:1" x14ac:dyDescent="0.45">
      <c r="A14" s="2"/>
    </row>
    <row r="15" spans="1:1" x14ac:dyDescent="0.45">
      <c r="A15" s="3" t="s">
        <v>11</v>
      </c>
    </row>
    <row r="16" spans="1:1" x14ac:dyDescent="0.45">
      <c r="A16" s="2" t="s">
        <v>12</v>
      </c>
    </row>
    <row r="17" spans="1:1" x14ac:dyDescent="0.45">
      <c r="A17" s="2" t="s">
        <v>13</v>
      </c>
    </row>
    <row r="18" spans="1:1" x14ac:dyDescent="0.45">
      <c r="A18" s="2" t="s">
        <v>14</v>
      </c>
    </row>
    <row r="19" spans="1:1" x14ac:dyDescent="0.45">
      <c r="A19" s="2" t="s">
        <v>15</v>
      </c>
    </row>
    <row r="20" spans="1:1" x14ac:dyDescent="0.45">
      <c r="A20" s="2"/>
    </row>
    <row r="21" spans="1:1" x14ac:dyDescent="0.45">
      <c r="A21" s="3" t="s">
        <v>16</v>
      </c>
    </row>
    <row r="22" spans="1:1" x14ac:dyDescent="0.45">
      <c r="A22" s="2" t="s">
        <v>17</v>
      </c>
    </row>
    <row r="23" spans="1:1" x14ac:dyDescent="0.45">
      <c r="A23" s="2" t="s">
        <v>18</v>
      </c>
    </row>
    <row r="24" spans="1:1" x14ac:dyDescent="0.45">
      <c r="A24" s="2" t="s">
        <v>19</v>
      </c>
    </row>
    <row r="25" spans="1:1" x14ac:dyDescent="0.45">
      <c r="A25" s="2" t="s">
        <v>20</v>
      </c>
    </row>
    <row r="26" spans="1:1" x14ac:dyDescent="0.45">
      <c r="A26" s="2"/>
    </row>
    <row r="27" spans="1:1" x14ac:dyDescent="0.45">
      <c r="A27" s="3" t="s">
        <v>21</v>
      </c>
    </row>
    <row r="28" spans="1:1" x14ac:dyDescent="0.45">
      <c r="A28" s="2" t="s">
        <v>22</v>
      </c>
    </row>
    <row r="29" spans="1:1" x14ac:dyDescent="0.45">
      <c r="A29" s="2" t="s">
        <v>23</v>
      </c>
    </row>
    <row r="30" spans="1:1" x14ac:dyDescent="0.45">
      <c r="A30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4.25" x14ac:dyDescent="0.45"/>
  <cols>
    <col min="1" max="1" width="18" customWidth="1"/>
    <col min="2" max="2" width="22" customWidth="1"/>
    <col min="3" max="3" width="70" customWidth="1"/>
  </cols>
  <sheetData>
    <row r="1" spans="1:3" x14ac:dyDescent="0.45">
      <c r="A1" s="4" t="s">
        <v>25</v>
      </c>
      <c r="B1" s="4" t="s">
        <v>26</v>
      </c>
    </row>
    <row r="2" spans="1:3" x14ac:dyDescent="0.45">
      <c r="A2" t="s">
        <v>27</v>
      </c>
      <c r="B2">
        <f ca="1">EDATE(TODAY(),-60)</f>
        <v>44444</v>
      </c>
      <c r="C2" t="s">
        <v>28</v>
      </c>
    </row>
    <row r="3" spans="1:3" x14ac:dyDescent="0.45">
      <c r="A3" t="s">
        <v>29</v>
      </c>
      <c r="B3">
        <f ca="1">TODAY()-1</f>
        <v>46269</v>
      </c>
      <c r="C3" t="s">
        <v>30</v>
      </c>
    </row>
    <row r="4" spans="1:3" x14ac:dyDescent="0.45">
      <c r="A4" t="s">
        <v>31</v>
      </c>
      <c r="B4" t="s">
        <v>32</v>
      </c>
      <c r="C4" t="s">
        <v>33</v>
      </c>
    </row>
    <row r="5" spans="1:3" x14ac:dyDescent="0.45">
      <c r="A5" t="s">
        <v>34</v>
      </c>
      <c r="B5" t="s">
        <v>35</v>
      </c>
      <c r="C5" t="s">
        <v>36</v>
      </c>
    </row>
    <row r="6" spans="1:3" x14ac:dyDescent="0.45">
      <c r="A6" t="s">
        <v>37</v>
      </c>
      <c r="B6" t="s">
        <v>38</v>
      </c>
      <c r="C6" t="s">
        <v>39</v>
      </c>
    </row>
    <row r="7" spans="1:3" x14ac:dyDescent="0.45">
      <c r="A7" t="s">
        <v>40</v>
      </c>
      <c r="B7" t="s">
        <v>41</v>
      </c>
      <c r="C7" t="s">
        <v>42</v>
      </c>
    </row>
    <row r="8" spans="1:3" x14ac:dyDescent="0.45">
      <c r="A8" t="s">
        <v>43</v>
      </c>
      <c r="B8" t="s">
        <v>44</v>
      </c>
      <c r="C8" t="s">
        <v>45</v>
      </c>
    </row>
    <row r="9" spans="1:3" x14ac:dyDescent="0.45">
      <c r="A9" t="s">
        <v>46</v>
      </c>
      <c r="B9" t="s">
        <v>47</v>
      </c>
      <c r="C9" t="s">
        <v>48</v>
      </c>
    </row>
    <row r="10" spans="1:3" x14ac:dyDescent="0.45">
      <c r="A10" t="s">
        <v>49</v>
      </c>
      <c r="B10" t="s">
        <v>50</v>
      </c>
      <c r="C10" t="s">
        <v>51</v>
      </c>
    </row>
    <row r="12" spans="1:3" x14ac:dyDescent="0.45">
      <c r="A12" t="s">
        <v>52</v>
      </c>
    </row>
    <row r="13" spans="1:3" x14ac:dyDescent="0.45">
      <c r="A13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workbookViewId="0">
      <selection activeCell="E14" sqref="E14"/>
    </sheetView>
  </sheetViews>
  <sheetFormatPr defaultRowHeight="14.25" x14ac:dyDescent="0.45"/>
  <cols>
    <col min="1" max="1" width="12" customWidth="1"/>
    <col min="2" max="2" width="16" customWidth="1"/>
    <col min="3" max="3" width="10" customWidth="1"/>
    <col min="4" max="4" width="28" customWidth="1"/>
    <col min="5" max="5" width="12" customWidth="1"/>
    <col min="6" max="6" width="22" customWidth="1"/>
    <col min="7" max="7" width="16" customWidth="1"/>
  </cols>
  <sheetData>
    <row r="1" spans="1:7" x14ac:dyDescent="0.4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</row>
    <row r="2" spans="1:7" x14ac:dyDescent="0.45">
      <c r="A2" t="s">
        <v>61</v>
      </c>
      <c r="B2" t="s">
        <v>62</v>
      </c>
      <c r="C2" t="s">
        <v>63</v>
      </c>
      <c r="D2" t="e">
        <f t="shared" ref="D2:D33" ca="1" si="0">BDP(B2,"NAME")</f>
        <v>#NAME?</v>
      </c>
      <c r="E2" t="e">
        <f t="shared" ref="E2:E33" ca="1" si="1">BDP(B2,"PX_LAST")</f>
        <v>#NAME?</v>
      </c>
      <c r="F2" t="e">
        <f t="shared" ref="F2:F33" ca="1" si="2">BDP(B2,"GICS_SECTOR_NAME")</f>
        <v>#NAME?</v>
      </c>
      <c r="G2" t="e">
        <f t="shared" ref="G2:G33" ca="1" si="3">BDP(B2,"CUR_MKT_CAP")</f>
        <v>#NAME?</v>
      </c>
    </row>
    <row r="3" spans="1:7" x14ac:dyDescent="0.45">
      <c r="A3" t="s">
        <v>64</v>
      </c>
      <c r="B3" t="s">
        <v>65</v>
      </c>
      <c r="C3" t="s">
        <v>63</v>
      </c>
      <c r="D3" t="e">
        <f t="shared" ca="1" si="0"/>
        <v>#NAME?</v>
      </c>
      <c r="E3" t="e">
        <f t="shared" ca="1" si="1"/>
        <v>#NAME?</v>
      </c>
      <c r="F3" t="e">
        <f t="shared" ca="1" si="2"/>
        <v>#NAME?</v>
      </c>
      <c r="G3" t="e">
        <f t="shared" ca="1" si="3"/>
        <v>#NAME?</v>
      </c>
    </row>
    <row r="4" spans="1:7" x14ac:dyDescent="0.45">
      <c r="A4" t="s">
        <v>66</v>
      </c>
      <c r="B4" t="s">
        <v>67</v>
      </c>
      <c r="C4" t="s">
        <v>63</v>
      </c>
      <c r="D4" t="e">
        <f t="shared" ca="1" si="0"/>
        <v>#NAME?</v>
      </c>
      <c r="E4" t="e">
        <f t="shared" ca="1" si="1"/>
        <v>#NAME?</v>
      </c>
      <c r="F4" t="e">
        <f t="shared" ca="1" si="2"/>
        <v>#NAME?</v>
      </c>
      <c r="G4" t="e">
        <f t="shared" ca="1" si="3"/>
        <v>#NAME?</v>
      </c>
    </row>
    <row r="5" spans="1:7" x14ac:dyDescent="0.45">
      <c r="A5" t="s">
        <v>68</v>
      </c>
      <c r="B5" t="s">
        <v>69</v>
      </c>
      <c r="C5" t="s">
        <v>63</v>
      </c>
      <c r="D5" t="e">
        <f t="shared" ca="1" si="0"/>
        <v>#NAME?</v>
      </c>
      <c r="E5" t="e">
        <f t="shared" ca="1" si="1"/>
        <v>#NAME?</v>
      </c>
      <c r="F5" t="e">
        <f t="shared" ca="1" si="2"/>
        <v>#NAME?</v>
      </c>
      <c r="G5" t="e">
        <f t="shared" ca="1" si="3"/>
        <v>#NAME?</v>
      </c>
    </row>
    <row r="6" spans="1:7" x14ac:dyDescent="0.45">
      <c r="A6" t="s">
        <v>70</v>
      </c>
      <c r="B6" t="s">
        <v>71</v>
      </c>
      <c r="C6" t="s">
        <v>63</v>
      </c>
      <c r="D6" t="e">
        <f t="shared" ca="1" si="0"/>
        <v>#NAME?</v>
      </c>
      <c r="E6" t="e">
        <f t="shared" ca="1" si="1"/>
        <v>#NAME?</v>
      </c>
      <c r="F6" t="e">
        <f t="shared" ca="1" si="2"/>
        <v>#NAME?</v>
      </c>
      <c r="G6" t="e">
        <f t="shared" ca="1" si="3"/>
        <v>#NAME?</v>
      </c>
    </row>
    <row r="7" spans="1:7" x14ac:dyDescent="0.45">
      <c r="A7" t="s">
        <v>72</v>
      </c>
      <c r="B7" t="s">
        <v>73</v>
      </c>
      <c r="C7" t="s">
        <v>63</v>
      </c>
      <c r="D7" t="e">
        <f t="shared" ca="1" si="0"/>
        <v>#NAME?</v>
      </c>
      <c r="E7" t="e">
        <f t="shared" ca="1" si="1"/>
        <v>#NAME?</v>
      </c>
      <c r="F7" t="e">
        <f t="shared" ca="1" si="2"/>
        <v>#NAME?</v>
      </c>
      <c r="G7" t="e">
        <f t="shared" ca="1" si="3"/>
        <v>#NAME?</v>
      </c>
    </row>
    <row r="8" spans="1:7" x14ac:dyDescent="0.45">
      <c r="A8" t="s">
        <v>74</v>
      </c>
      <c r="B8" t="s">
        <v>75</v>
      </c>
      <c r="C8" t="s">
        <v>63</v>
      </c>
      <c r="D8" t="e">
        <f t="shared" ca="1" si="0"/>
        <v>#NAME?</v>
      </c>
      <c r="E8" t="e">
        <f t="shared" ca="1" si="1"/>
        <v>#NAME?</v>
      </c>
      <c r="F8" t="e">
        <f t="shared" ca="1" si="2"/>
        <v>#NAME?</v>
      </c>
      <c r="G8" t="e">
        <f t="shared" ca="1" si="3"/>
        <v>#NAME?</v>
      </c>
    </row>
    <row r="9" spans="1:7" x14ac:dyDescent="0.45">
      <c r="A9" t="s">
        <v>76</v>
      </c>
      <c r="B9" t="s">
        <v>77</v>
      </c>
      <c r="C9" t="s">
        <v>63</v>
      </c>
      <c r="D9" t="e">
        <f t="shared" ca="1" si="0"/>
        <v>#NAME?</v>
      </c>
      <c r="E9" t="e">
        <f t="shared" ca="1" si="1"/>
        <v>#NAME?</v>
      </c>
      <c r="F9" t="e">
        <f t="shared" ca="1" si="2"/>
        <v>#NAME?</v>
      </c>
      <c r="G9" t="e">
        <f t="shared" ca="1" si="3"/>
        <v>#NAME?</v>
      </c>
    </row>
    <row r="10" spans="1:7" x14ac:dyDescent="0.45">
      <c r="A10" t="s">
        <v>78</v>
      </c>
      <c r="B10" t="s">
        <v>79</v>
      </c>
      <c r="C10" t="s">
        <v>63</v>
      </c>
      <c r="D10" t="e">
        <f t="shared" ca="1" si="0"/>
        <v>#NAME?</v>
      </c>
      <c r="E10" t="e">
        <f t="shared" ca="1" si="1"/>
        <v>#NAME?</v>
      </c>
      <c r="F10" t="e">
        <f t="shared" ca="1" si="2"/>
        <v>#NAME?</v>
      </c>
      <c r="G10" t="e">
        <f t="shared" ca="1" si="3"/>
        <v>#NAME?</v>
      </c>
    </row>
    <row r="11" spans="1:7" x14ac:dyDescent="0.45">
      <c r="A11" t="s">
        <v>80</v>
      </c>
      <c r="B11" t="s">
        <v>81</v>
      </c>
      <c r="C11" t="s">
        <v>63</v>
      </c>
      <c r="D11" t="e">
        <f t="shared" ca="1" si="0"/>
        <v>#NAME?</v>
      </c>
      <c r="E11" t="e">
        <f t="shared" ca="1" si="1"/>
        <v>#NAME?</v>
      </c>
      <c r="F11" t="e">
        <f t="shared" ca="1" si="2"/>
        <v>#NAME?</v>
      </c>
      <c r="G11" t="e">
        <f t="shared" ca="1" si="3"/>
        <v>#NAME?</v>
      </c>
    </row>
    <row r="12" spans="1:7" x14ac:dyDescent="0.45">
      <c r="A12" t="s">
        <v>82</v>
      </c>
      <c r="B12" t="s">
        <v>83</v>
      </c>
      <c r="C12" t="s">
        <v>63</v>
      </c>
      <c r="D12" t="e">
        <f t="shared" ca="1" si="0"/>
        <v>#NAME?</v>
      </c>
      <c r="E12" t="e">
        <f t="shared" ca="1" si="1"/>
        <v>#NAME?</v>
      </c>
      <c r="F12" t="e">
        <f t="shared" ca="1" si="2"/>
        <v>#NAME?</v>
      </c>
      <c r="G12" t="e">
        <f t="shared" ca="1" si="3"/>
        <v>#NAME?</v>
      </c>
    </row>
    <row r="13" spans="1:7" x14ac:dyDescent="0.45">
      <c r="A13" t="s">
        <v>84</v>
      </c>
      <c r="B13" t="s">
        <v>85</v>
      </c>
      <c r="C13" t="s">
        <v>63</v>
      </c>
      <c r="D13" t="e">
        <f t="shared" ca="1" si="0"/>
        <v>#NAME?</v>
      </c>
      <c r="E13" t="e">
        <f t="shared" ca="1" si="1"/>
        <v>#NAME?</v>
      </c>
      <c r="F13" t="e">
        <f t="shared" ca="1" si="2"/>
        <v>#NAME?</v>
      </c>
      <c r="G13" t="e">
        <f t="shared" ca="1" si="3"/>
        <v>#NAME?</v>
      </c>
    </row>
    <row r="14" spans="1:7" x14ac:dyDescent="0.45">
      <c r="A14" t="s">
        <v>86</v>
      </c>
      <c r="B14" t="s">
        <v>87</v>
      </c>
      <c r="C14" t="s">
        <v>63</v>
      </c>
      <c r="D14" t="e">
        <f t="shared" ca="1" si="0"/>
        <v>#NAME?</v>
      </c>
      <c r="E14" t="e">
        <f t="shared" ca="1" si="1"/>
        <v>#NAME?</v>
      </c>
      <c r="F14" t="e">
        <f t="shared" ca="1" si="2"/>
        <v>#NAME?</v>
      </c>
      <c r="G14" t="e">
        <f t="shared" ca="1" si="3"/>
        <v>#NAME?</v>
      </c>
    </row>
    <row r="15" spans="1:7" x14ac:dyDescent="0.45">
      <c r="A15" t="s">
        <v>88</v>
      </c>
      <c r="B15" t="s">
        <v>89</v>
      </c>
      <c r="C15" t="s">
        <v>63</v>
      </c>
      <c r="D15" t="e">
        <f t="shared" ca="1" si="0"/>
        <v>#NAME?</v>
      </c>
      <c r="E15" t="e">
        <f t="shared" ca="1" si="1"/>
        <v>#NAME?</v>
      </c>
      <c r="F15" t="e">
        <f t="shared" ca="1" si="2"/>
        <v>#NAME?</v>
      </c>
      <c r="G15" t="e">
        <f t="shared" ca="1" si="3"/>
        <v>#NAME?</v>
      </c>
    </row>
    <row r="16" spans="1:7" x14ac:dyDescent="0.45">
      <c r="A16" t="s">
        <v>90</v>
      </c>
      <c r="B16" t="s">
        <v>91</v>
      </c>
      <c r="C16" t="s">
        <v>63</v>
      </c>
      <c r="D16" t="e">
        <f t="shared" ca="1" si="0"/>
        <v>#NAME?</v>
      </c>
      <c r="E16" t="e">
        <f t="shared" ca="1" si="1"/>
        <v>#NAME?</v>
      </c>
      <c r="F16" t="e">
        <f t="shared" ca="1" si="2"/>
        <v>#NAME?</v>
      </c>
      <c r="G16" t="e">
        <f t="shared" ca="1" si="3"/>
        <v>#NAME?</v>
      </c>
    </row>
    <row r="17" spans="1:7" x14ac:dyDescent="0.45">
      <c r="A17" t="s">
        <v>92</v>
      </c>
      <c r="B17" t="s">
        <v>93</v>
      </c>
      <c r="C17" t="s">
        <v>63</v>
      </c>
      <c r="D17" t="e">
        <f t="shared" ca="1" si="0"/>
        <v>#NAME?</v>
      </c>
      <c r="E17" t="e">
        <f t="shared" ca="1" si="1"/>
        <v>#NAME?</v>
      </c>
      <c r="F17" t="e">
        <f t="shared" ca="1" si="2"/>
        <v>#NAME?</v>
      </c>
      <c r="G17" t="e">
        <f t="shared" ca="1" si="3"/>
        <v>#NAME?</v>
      </c>
    </row>
    <row r="18" spans="1:7" x14ac:dyDescent="0.45">
      <c r="A18" t="s">
        <v>94</v>
      </c>
      <c r="B18" t="s">
        <v>95</v>
      </c>
      <c r="C18" t="s">
        <v>63</v>
      </c>
      <c r="D18" t="e">
        <f t="shared" ca="1" si="0"/>
        <v>#NAME?</v>
      </c>
      <c r="E18" t="e">
        <f t="shared" ca="1" si="1"/>
        <v>#NAME?</v>
      </c>
      <c r="F18" t="e">
        <f t="shared" ca="1" si="2"/>
        <v>#NAME?</v>
      </c>
      <c r="G18" t="e">
        <f t="shared" ca="1" si="3"/>
        <v>#NAME?</v>
      </c>
    </row>
    <row r="19" spans="1:7" x14ac:dyDescent="0.45">
      <c r="A19" t="s">
        <v>96</v>
      </c>
      <c r="B19" t="s">
        <v>97</v>
      </c>
      <c r="C19" t="s">
        <v>63</v>
      </c>
      <c r="D19" t="e">
        <f t="shared" ca="1" si="0"/>
        <v>#NAME?</v>
      </c>
      <c r="E19" t="e">
        <f t="shared" ca="1" si="1"/>
        <v>#NAME?</v>
      </c>
      <c r="F19" t="e">
        <f t="shared" ca="1" si="2"/>
        <v>#NAME?</v>
      </c>
      <c r="G19" t="e">
        <f t="shared" ca="1" si="3"/>
        <v>#NAME?</v>
      </c>
    </row>
    <row r="20" spans="1:7" x14ac:dyDescent="0.45">
      <c r="A20" t="s">
        <v>98</v>
      </c>
      <c r="B20" t="s">
        <v>99</v>
      </c>
      <c r="C20" t="s">
        <v>63</v>
      </c>
      <c r="D20" t="e">
        <f t="shared" ca="1" si="0"/>
        <v>#NAME?</v>
      </c>
      <c r="E20" t="e">
        <f t="shared" ca="1" si="1"/>
        <v>#NAME?</v>
      </c>
      <c r="F20" t="e">
        <f t="shared" ca="1" si="2"/>
        <v>#NAME?</v>
      </c>
      <c r="G20" t="e">
        <f t="shared" ca="1" si="3"/>
        <v>#NAME?</v>
      </c>
    </row>
    <row r="21" spans="1:7" x14ac:dyDescent="0.45">
      <c r="A21" t="s">
        <v>100</v>
      </c>
      <c r="B21" t="s">
        <v>101</v>
      </c>
      <c r="C21" t="s">
        <v>63</v>
      </c>
      <c r="D21" t="e">
        <f t="shared" ca="1" si="0"/>
        <v>#NAME?</v>
      </c>
      <c r="E21" t="e">
        <f t="shared" ca="1" si="1"/>
        <v>#NAME?</v>
      </c>
      <c r="F21" t="e">
        <f t="shared" ca="1" si="2"/>
        <v>#NAME?</v>
      </c>
      <c r="G21" t="e">
        <f t="shared" ca="1" si="3"/>
        <v>#NAME?</v>
      </c>
    </row>
    <row r="22" spans="1:7" x14ac:dyDescent="0.45">
      <c r="A22" t="s">
        <v>102</v>
      </c>
      <c r="B22" t="s">
        <v>103</v>
      </c>
      <c r="C22" t="s">
        <v>63</v>
      </c>
      <c r="D22" t="e">
        <f t="shared" ca="1" si="0"/>
        <v>#NAME?</v>
      </c>
      <c r="E22" t="e">
        <f t="shared" ca="1" si="1"/>
        <v>#NAME?</v>
      </c>
      <c r="F22" t="e">
        <f t="shared" ca="1" si="2"/>
        <v>#NAME?</v>
      </c>
      <c r="G22" t="e">
        <f t="shared" ca="1" si="3"/>
        <v>#NAME?</v>
      </c>
    </row>
    <row r="23" spans="1:7" x14ac:dyDescent="0.45">
      <c r="A23" t="s">
        <v>104</v>
      </c>
      <c r="B23" t="s">
        <v>105</v>
      </c>
      <c r="C23" t="s">
        <v>63</v>
      </c>
      <c r="D23" t="e">
        <f t="shared" ca="1" si="0"/>
        <v>#NAME?</v>
      </c>
      <c r="E23" t="e">
        <f t="shared" ca="1" si="1"/>
        <v>#NAME?</v>
      </c>
      <c r="F23" t="e">
        <f t="shared" ca="1" si="2"/>
        <v>#NAME?</v>
      </c>
      <c r="G23" t="e">
        <f t="shared" ca="1" si="3"/>
        <v>#NAME?</v>
      </c>
    </row>
    <row r="24" spans="1:7" x14ac:dyDescent="0.45">
      <c r="A24" t="s">
        <v>106</v>
      </c>
      <c r="B24" t="s">
        <v>107</v>
      </c>
      <c r="C24" t="s">
        <v>63</v>
      </c>
      <c r="D24" t="e">
        <f t="shared" ca="1" si="0"/>
        <v>#NAME?</v>
      </c>
      <c r="E24" t="e">
        <f t="shared" ca="1" si="1"/>
        <v>#NAME?</v>
      </c>
      <c r="F24" t="e">
        <f t="shared" ca="1" si="2"/>
        <v>#NAME?</v>
      </c>
      <c r="G24" t="e">
        <f t="shared" ca="1" si="3"/>
        <v>#NAME?</v>
      </c>
    </row>
    <row r="25" spans="1:7" x14ac:dyDescent="0.45">
      <c r="A25" t="s">
        <v>108</v>
      </c>
      <c r="B25" t="s">
        <v>109</v>
      </c>
      <c r="C25" t="s">
        <v>63</v>
      </c>
      <c r="D25" t="e">
        <f t="shared" ca="1" si="0"/>
        <v>#NAME?</v>
      </c>
      <c r="E25" t="e">
        <f t="shared" ca="1" si="1"/>
        <v>#NAME?</v>
      </c>
      <c r="F25" t="e">
        <f t="shared" ca="1" si="2"/>
        <v>#NAME?</v>
      </c>
      <c r="G25" t="e">
        <f t="shared" ca="1" si="3"/>
        <v>#NAME?</v>
      </c>
    </row>
    <row r="26" spans="1:7" x14ac:dyDescent="0.45">
      <c r="A26" t="s">
        <v>110</v>
      </c>
      <c r="B26" t="s">
        <v>111</v>
      </c>
      <c r="C26" t="s">
        <v>63</v>
      </c>
      <c r="D26" t="e">
        <f t="shared" ca="1" si="0"/>
        <v>#NAME?</v>
      </c>
      <c r="E26" t="e">
        <f t="shared" ca="1" si="1"/>
        <v>#NAME?</v>
      </c>
      <c r="F26" t="e">
        <f t="shared" ca="1" si="2"/>
        <v>#NAME?</v>
      </c>
      <c r="G26" t="e">
        <f t="shared" ca="1" si="3"/>
        <v>#NAME?</v>
      </c>
    </row>
    <row r="27" spans="1:7" x14ac:dyDescent="0.45">
      <c r="A27" t="s">
        <v>112</v>
      </c>
      <c r="B27" t="s">
        <v>113</v>
      </c>
      <c r="C27" t="s">
        <v>63</v>
      </c>
      <c r="D27" t="e">
        <f t="shared" ca="1" si="0"/>
        <v>#NAME?</v>
      </c>
      <c r="E27" t="e">
        <f t="shared" ca="1" si="1"/>
        <v>#NAME?</v>
      </c>
      <c r="F27" t="e">
        <f t="shared" ca="1" si="2"/>
        <v>#NAME?</v>
      </c>
      <c r="G27" t="e">
        <f t="shared" ca="1" si="3"/>
        <v>#NAME?</v>
      </c>
    </row>
    <row r="28" spans="1:7" x14ac:dyDescent="0.45">
      <c r="A28" t="s">
        <v>114</v>
      </c>
      <c r="B28" t="s">
        <v>115</v>
      </c>
      <c r="C28" t="s">
        <v>63</v>
      </c>
      <c r="D28" t="e">
        <f t="shared" ca="1" si="0"/>
        <v>#NAME?</v>
      </c>
      <c r="E28" t="e">
        <f t="shared" ca="1" si="1"/>
        <v>#NAME?</v>
      </c>
      <c r="F28" t="e">
        <f t="shared" ca="1" si="2"/>
        <v>#NAME?</v>
      </c>
      <c r="G28" t="e">
        <f t="shared" ca="1" si="3"/>
        <v>#NAME?</v>
      </c>
    </row>
    <row r="29" spans="1:7" x14ac:dyDescent="0.45">
      <c r="A29" t="s">
        <v>116</v>
      </c>
      <c r="B29" t="s">
        <v>117</v>
      </c>
      <c r="C29" t="s">
        <v>63</v>
      </c>
      <c r="D29" t="e">
        <f t="shared" ca="1" si="0"/>
        <v>#NAME?</v>
      </c>
      <c r="E29" t="e">
        <f t="shared" ca="1" si="1"/>
        <v>#NAME?</v>
      </c>
      <c r="F29" t="e">
        <f t="shared" ca="1" si="2"/>
        <v>#NAME?</v>
      </c>
      <c r="G29" t="e">
        <f t="shared" ca="1" si="3"/>
        <v>#NAME?</v>
      </c>
    </row>
    <row r="30" spans="1:7" x14ac:dyDescent="0.45">
      <c r="A30" t="s">
        <v>118</v>
      </c>
      <c r="B30" t="s">
        <v>119</v>
      </c>
      <c r="C30" t="s">
        <v>63</v>
      </c>
      <c r="D30" t="e">
        <f t="shared" ca="1" si="0"/>
        <v>#NAME?</v>
      </c>
      <c r="E30" t="e">
        <f t="shared" ca="1" si="1"/>
        <v>#NAME?</v>
      </c>
      <c r="F30" t="e">
        <f t="shared" ca="1" si="2"/>
        <v>#NAME?</v>
      </c>
      <c r="G30" t="e">
        <f t="shared" ca="1" si="3"/>
        <v>#NAME?</v>
      </c>
    </row>
    <row r="31" spans="1:7" x14ac:dyDescent="0.45">
      <c r="A31" t="s">
        <v>120</v>
      </c>
      <c r="B31" t="s">
        <v>121</v>
      </c>
      <c r="C31" t="s">
        <v>63</v>
      </c>
      <c r="D31" t="e">
        <f t="shared" ca="1" si="0"/>
        <v>#NAME?</v>
      </c>
      <c r="E31" t="e">
        <f t="shared" ca="1" si="1"/>
        <v>#NAME?</v>
      </c>
      <c r="F31" t="e">
        <f t="shared" ca="1" si="2"/>
        <v>#NAME?</v>
      </c>
      <c r="G31" t="e">
        <f t="shared" ca="1" si="3"/>
        <v>#NAME?</v>
      </c>
    </row>
    <row r="32" spans="1:7" x14ac:dyDescent="0.45">
      <c r="A32" t="s">
        <v>122</v>
      </c>
      <c r="B32" t="s">
        <v>123</v>
      </c>
      <c r="C32" t="s">
        <v>63</v>
      </c>
      <c r="D32" t="e">
        <f t="shared" ca="1" si="0"/>
        <v>#NAME?</v>
      </c>
      <c r="E32" t="e">
        <f t="shared" ca="1" si="1"/>
        <v>#NAME?</v>
      </c>
      <c r="F32" t="e">
        <f t="shared" ca="1" si="2"/>
        <v>#NAME?</v>
      </c>
      <c r="G32" t="e">
        <f t="shared" ca="1" si="3"/>
        <v>#NAME?</v>
      </c>
    </row>
    <row r="33" spans="1:7" x14ac:dyDescent="0.45">
      <c r="A33" t="s">
        <v>124</v>
      </c>
      <c r="B33" t="s">
        <v>125</v>
      </c>
      <c r="C33" t="s">
        <v>63</v>
      </c>
      <c r="D33" t="e">
        <f t="shared" ca="1" si="0"/>
        <v>#NAME?</v>
      </c>
      <c r="E33" t="e">
        <f t="shared" ca="1" si="1"/>
        <v>#NAME?</v>
      </c>
      <c r="F33" t="e">
        <f t="shared" ca="1" si="2"/>
        <v>#NAME?</v>
      </c>
      <c r="G33" t="e">
        <f t="shared" ca="1" si="3"/>
        <v>#NAME?</v>
      </c>
    </row>
    <row r="34" spans="1:7" x14ac:dyDescent="0.45">
      <c r="A34" t="s">
        <v>126</v>
      </c>
      <c r="B34" t="s">
        <v>127</v>
      </c>
      <c r="C34" t="s">
        <v>63</v>
      </c>
      <c r="D34" t="e">
        <f t="shared" ref="D34:D65" ca="1" si="4">BDP(B34,"NAME")</f>
        <v>#NAME?</v>
      </c>
      <c r="E34" t="e">
        <f t="shared" ref="E34:E65" ca="1" si="5">BDP(B34,"PX_LAST")</f>
        <v>#NAME?</v>
      </c>
      <c r="F34" t="e">
        <f t="shared" ref="F34:F65" ca="1" si="6">BDP(B34,"GICS_SECTOR_NAME")</f>
        <v>#NAME?</v>
      </c>
      <c r="G34" t="e">
        <f t="shared" ref="G34:G65" ca="1" si="7">BDP(B34,"CUR_MKT_CAP")</f>
        <v>#NAME?</v>
      </c>
    </row>
    <row r="35" spans="1:7" x14ac:dyDescent="0.45">
      <c r="A35" t="s">
        <v>128</v>
      </c>
      <c r="B35" t="s">
        <v>129</v>
      </c>
      <c r="C35" t="s">
        <v>63</v>
      </c>
      <c r="D35" t="e">
        <f t="shared" ca="1" si="4"/>
        <v>#NAME?</v>
      </c>
      <c r="E35" t="e">
        <f t="shared" ca="1" si="5"/>
        <v>#NAME?</v>
      </c>
      <c r="F35" t="e">
        <f t="shared" ca="1" si="6"/>
        <v>#NAME?</v>
      </c>
      <c r="G35" t="e">
        <f t="shared" ca="1" si="7"/>
        <v>#NAME?</v>
      </c>
    </row>
    <row r="36" spans="1:7" x14ac:dyDescent="0.45">
      <c r="A36" t="s">
        <v>130</v>
      </c>
      <c r="B36" t="s">
        <v>131</v>
      </c>
      <c r="C36" t="s">
        <v>63</v>
      </c>
      <c r="D36" t="e">
        <f t="shared" ca="1" si="4"/>
        <v>#NAME?</v>
      </c>
      <c r="E36" t="e">
        <f t="shared" ca="1" si="5"/>
        <v>#NAME?</v>
      </c>
      <c r="F36" t="e">
        <f t="shared" ca="1" si="6"/>
        <v>#NAME?</v>
      </c>
      <c r="G36" t="e">
        <f t="shared" ca="1" si="7"/>
        <v>#NAME?</v>
      </c>
    </row>
    <row r="37" spans="1:7" x14ac:dyDescent="0.45">
      <c r="A37" t="s">
        <v>132</v>
      </c>
      <c r="B37" t="s">
        <v>133</v>
      </c>
      <c r="C37" t="s">
        <v>63</v>
      </c>
      <c r="D37" t="e">
        <f t="shared" ca="1" si="4"/>
        <v>#NAME?</v>
      </c>
      <c r="E37" t="e">
        <f t="shared" ca="1" si="5"/>
        <v>#NAME?</v>
      </c>
      <c r="F37" t="e">
        <f t="shared" ca="1" si="6"/>
        <v>#NAME?</v>
      </c>
      <c r="G37" t="e">
        <f t="shared" ca="1" si="7"/>
        <v>#NAME?</v>
      </c>
    </row>
    <row r="38" spans="1:7" x14ac:dyDescent="0.45">
      <c r="A38" t="s">
        <v>134</v>
      </c>
      <c r="B38" t="s">
        <v>135</v>
      </c>
      <c r="C38" t="s">
        <v>63</v>
      </c>
      <c r="D38" t="e">
        <f t="shared" ca="1" si="4"/>
        <v>#NAME?</v>
      </c>
      <c r="E38" t="e">
        <f t="shared" ca="1" si="5"/>
        <v>#NAME?</v>
      </c>
      <c r="F38" t="e">
        <f t="shared" ca="1" si="6"/>
        <v>#NAME?</v>
      </c>
      <c r="G38" t="e">
        <f t="shared" ca="1" si="7"/>
        <v>#NAME?</v>
      </c>
    </row>
    <row r="39" spans="1:7" x14ac:dyDescent="0.45">
      <c r="A39" t="s">
        <v>136</v>
      </c>
      <c r="B39" t="s">
        <v>137</v>
      </c>
      <c r="C39" t="s">
        <v>63</v>
      </c>
      <c r="D39" t="e">
        <f t="shared" ca="1" si="4"/>
        <v>#NAME?</v>
      </c>
      <c r="E39" t="e">
        <f t="shared" ca="1" si="5"/>
        <v>#NAME?</v>
      </c>
      <c r="F39" t="e">
        <f t="shared" ca="1" si="6"/>
        <v>#NAME?</v>
      </c>
      <c r="G39" t="e">
        <f t="shared" ca="1" si="7"/>
        <v>#NAME?</v>
      </c>
    </row>
    <row r="40" spans="1:7" x14ac:dyDescent="0.45">
      <c r="A40" t="s">
        <v>138</v>
      </c>
      <c r="B40" t="s">
        <v>139</v>
      </c>
      <c r="C40" t="s">
        <v>63</v>
      </c>
      <c r="D40" t="e">
        <f t="shared" ca="1" si="4"/>
        <v>#NAME?</v>
      </c>
      <c r="E40" t="e">
        <f t="shared" ca="1" si="5"/>
        <v>#NAME?</v>
      </c>
      <c r="F40" t="e">
        <f t="shared" ca="1" si="6"/>
        <v>#NAME?</v>
      </c>
      <c r="G40" t="e">
        <f t="shared" ca="1" si="7"/>
        <v>#NAME?</v>
      </c>
    </row>
    <row r="41" spans="1:7" x14ac:dyDescent="0.45">
      <c r="A41" t="s">
        <v>140</v>
      </c>
      <c r="B41" t="s">
        <v>141</v>
      </c>
      <c r="C41" t="s">
        <v>63</v>
      </c>
      <c r="D41" t="e">
        <f t="shared" ca="1" si="4"/>
        <v>#NAME?</v>
      </c>
      <c r="E41" t="e">
        <f t="shared" ca="1" si="5"/>
        <v>#NAME?</v>
      </c>
      <c r="F41" t="e">
        <f t="shared" ca="1" si="6"/>
        <v>#NAME?</v>
      </c>
      <c r="G41" t="e">
        <f t="shared" ca="1" si="7"/>
        <v>#NAME?</v>
      </c>
    </row>
    <row r="42" spans="1:7" x14ac:dyDescent="0.45">
      <c r="A42" t="s">
        <v>142</v>
      </c>
      <c r="B42" t="s">
        <v>143</v>
      </c>
      <c r="C42" t="s">
        <v>63</v>
      </c>
      <c r="D42" t="e">
        <f t="shared" ca="1" si="4"/>
        <v>#NAME?</v>
      </c>
      <c r="E42" t="e">
        <f t="shared" ca="1" si="5"/>
        <v>#NAME?</v>
      </c>
      <c r="F42" t="e">
        <f t="shared" ca="1" si="6"/>
        <v>#NAME?</v>
      </c>
      <c r="G42" t="e">
        <f t="shared" ca="1" si="7"/>
        <v>#NAME?</v>
      </c>
    </row>
    <row r="43" spans="1:7" x14ac:dyDescent="0.45">
      <c r="A43" t="s">
        <v>144</v>
      </c>
      <c r="B43" t="s">
        <v>145</v>
      </c>
      <c r="C43" t="s">
        <v>63</v>
      </c>
      <c r="D43" t="e">
        <f t="shared" ca="1" si="4"/>
        <v>#NAME?</v>
      </c>
      <c r="E43" t="e">
        <f t="shared" ca="1" si="5"/>
        <v>#NAME?</v>
      </c>
      <c r="F43" t="e">
        <f t="shared" ca="1" si="6"/>
        <v>#NAME?</v>
      </c>
      <c r="G43" t="e">
        <f t="shared" ca="1" si="7"/>
        <v>#NAME?</v>
      </c>
    </row>
    <row r="44" spans="1:7" x14ac:dyDescent="0.45">
      <c r="A44" t="s">
        <v>146</v>
      </c>
      <c r="B44" t="s">
        <v>147</v>
      </c>
      <c r="C44" t="s">
        <v>63</v>
      </c>
      <c r="D44" t="e">
        <f t="shared" ca="1" si="4"/>
        <v>#NAME?</v>
      </c>
      <c r="E44" t="e">
        <f t="shared" ca="1" si="5"/>
        <v>#NAME?</v>
      </c>
      <c r="F44" t="e">
        <f t="shared" ca="1" si="6"/>
        <v>#NAME?</v>
      </c>
      <c r="G44" t="e">
        <f t="shared" ca="1" si="7"/>
        <v>#NAME?</v>
      </c>
    </row>
    <row r="45" spans="1:7" x14ac:dyDescent="0.45">
      <c r="A45" t="s">
        <v>148</v>
      </c>
      <c r="B45" t="s">
        <v>149</v>
      </c>
      <c r="C45" t="s">
        <v>63</v>
      </c>
      <c r="D45" t="e">
        <f t="shared" ca="1" si="4"/>
        <v>#NAME?</v>
      </c>
      <c r="E45" t="e">
        <f t="shared" ca="1" si="5"/>
        <v>#NAME?</v>
      </c>
      <c r="F45" t="e">
        <f t="shared" ca="1" si="6"/>
        <v>#NAME?</v>
      </c>
      <c r="G45" t="e">
        <f t="shared" ca="1" si="7"/>
        <v>#NAME?</v>
      </c>
    </row>
    <row r="46" spans="1:7" x14ac:dyDescent="0.45">
      <c r="A46" t="s">
        <v>150</v>
      </c>
      <c r="B46" t="s">
        <v>151</v>
      </c>
      <c r="C46" t="s">
        <v>63</v>
      </c>
      <c r="D46" t="e">
        <f t="shared" ca="1" si="4"/>
        <v>#NAME?</v>
      </c>
      <c r="E46" t="e">
        <f t="shared" ca="1" si="5"/>
        <v>#NAME?</v>
      </c>
      <c r="F46" t="e">
        <f t="shared" ca="1" si="6"/>
        <v>#NAME?</v>
      </c>
      <c r="G46" t="e">
        <f t="shared" ca="1" si="7"/>
        <v>#NAME?</v>
      </c>
    </row>
    <row r="47" spans="1:7" x14ac:dyDescent="0.45">
      <c r="A47" t="s">
        <v>152</v>
      </c>
      <c r="B47" t="s">
        <v>153</v>
      </c>
      <c r="C47" t="s">
        <v>63</v>
      </c>
      <c r="D47" t="e">
        <f t="shared" ca="1" si="4"/>
        <v>#NAME?</v>
      </c>
      <c r="E47" t="e">
        <f t="shared" ca="1" si="5"/>
        <v>#NAME?</v>
      </c>
      <c r="F47" t="e">
        <f t="shared" ca="1" si="6"/>
        <v>#NAME?</v>
      </c>
      <c r="G47" t="e">
        <f t="shared" ca="1" si="7"/>
        <v>#NAME?</v>
      </c>
    </row>
    <row r="48" spans="1:7" x14ac:dyDescent="0.45">
      <c r="A48" t="s">
        <v>154</v>
      </c>
      <c r="B48" t="s">
        <v>155</v>
      </c>
      <c r="C48" t="s">
        <v>63</v>
      </c>
      <c r="D48" t="e">
        <f t="shared" ca="1" si="4"/>
        <v>#NAME?</v>
      </c>
      <c r="E48" t="e">
        <f t="shared" ca="1" si="5"/>
        <v>#NAME?</v>
      </c>
      <c r="F48" t="e">
        <f t="shared" ca="1" si="6"/>
        <v>#NAME?</v>
      </c>
      <c r="G48" t="e">
        <f t="shared" ca="1" si="7"/>
        <v>#NAME?</v>
      </c>
    </row>
    <row r="49" spans="1:7" x14ac:dyDescent="0.45">
      <c r="A49" t="s">
        <v>156</v>
      </c>
      <c r="B49" t="s">
        <v>157</v>
      </c>
      <c r="C49" t="s">
        <v>63</v>
      </c>
      <c r="D49" t="e">
        <f t="shared" ca="1" si="4"/>
        <v>#NAME?</v>
      </c>
      <c r="E49" t="e">
        <f t="shared" ca="1" si="5"/>
        <v>#NAME?</v>
      </c>
      <c r="F49" t="e">
        <f t="shared" ca="1" si="6"/>
        <v>#NAME?</v>
      </c>
      <c r="G49" t="e">
        <f t="shared" ca="1" si="7"/>
        <v>#NAME?</v>
      </c>
    </row>
    <row r="50" spans="1:7" x14ac:dyDescent="0.45">
      <c r="A50" t="s">
        <v>158</v>
      </c>
      <c r="B50" t="s">
        <v>159</v>
      </c>
      <c r="C50" t="s">
        <v>63</v>
      </c>
      <c r="D50" t="e">
        <f t="shared" ca="1" si="4"/>
        <v>#NAME?</v>
      </c>
      <c r="E50" t="e">
        <f t="shared" ca="1" si="5"/>
        <v>#NAME?</v>
      </c>
      <c r="F50" t="e">
        <f t="shared" ca="1" si="6"/>
        <v>#NAME?</v>
      </c>
      <c r="G50" t="e">
        <f t="shared" ca="1" si="7"/>
        <v>#NAME?</v>
      </c>
    </row>
    <row r="51" spans="1:7" x14ac:dyDescent="0.45">
      <c r="A51" t="s">
        <v>160</v>
      </c>
      <c r="B51" t="s">
        <v>161</v>
      </c>
      <c r="C51" t="s">
        <v>63</v>
      </c>
      <c r="D51" t="e">
        <f t="shared" ca="1" si="4"/>
        <v>#NAME?</v>
      </c>
      <c r="E51" t="e">
        <f t="shared" ca="1" si="5"/>
        <v>#NAME?</v>
      </c>
      <c r="F51" t="e">
        <f t="shared" ca="1" si="6"/>
        <v>#NAME?</v>
      </c>
      <c r="G51" t="e">
        <f t="shared" ca="1" si="7"/>
        <v>#NAME?</v>
      </c>
    </row>
    <row r="52" spans="1:7" x14ac:dyDescent="0.45">
      <c r="A52" t="s">
        <v>162</v>
      </c>
      <c r="B52" t="s">
        <v>163</v>
      </c>
      <c r="C52" t="s">
        <v>63</v>
      </c>
      <c r="D52" t="e">
        <f t="shared" ca="1" si="4"/>
        <v>#NAME?</v>
      </c>
      <c r="E52" t="e">
        <f t="shared" ca="1" si="5"/>
        <v>#NAME?</v>
      </c>
      <c r="F52" t="e">
        <f t="shared" ca="1" si="6"/>
        <v>#NAME?</v>
      </c>
      <c r="G52" t="e">
        <f t="shared" ca="1" si="7"/>
        <v>#NAME?</v>
      </c>
    </row>
    <row r="53" spans="1:7" x14ac:dyDescent="0.45">
      <c r="A53" t="s">
        <v>164</v>
      </c>
      <c r="B53" t="s">
        <v>165</v>
      </c>
      <c r="C53" t="s">
        <v>63</v>
      </c>
      <c r="D53" t="e">
        <f t="shared" ca="1" si="4"/>
        <v>#NAME?</v>
      </c>
      <c r="E53" t="e">
        <f t="shared" ca="1" si="5"/>
        <v>#NAME?</v>
      </c>
      <c r="F53" t="e">
        <f t="shared" ca="1" si="6"/>
        <v>#NAME?</v>
      </c>
      <c r="G53" t="e">
        <f t="shared" ca="1" si="7"/>
        <v>#NAME?</v>
      </c>
    </row>
    <row r="54" spans="1:7" x14ac:dyDescent="0.45">
      <c r="A54" t="s">
        <v>166</v>
      </c>
      <c r="B54" t="s">
        <v>167</v>
      </c>
      <c r="C54" t="s">
        <v>63</v>
      </c>
      <c r="D54" t="e">
        <f t="shared" ca="1" si="4"/>
        <v>#NAME?</v>
      </c>
      <c r="E54" t="e">
        <f t="shared" ca="1" si="5"/>
        <v>#NAME?</v>
      </c>
      <c r="F54" t="e">
        <f t="shared" ca="1" si="6"/>
        <v>#NAME?</v>
      </c>
      <c r="G54" t="e">
        <f t="shared" ca="1" si="7"/>
        <v>#NAME?</v>
      </c>
    </row>
    <row r="55" spans="1:7" x14ac:dyDescent="0.45">
      <c r="A55" t="s">
        <v>168</v>
      </c>
      <c r="B55" t="s">
        <v>169</v>
      </c>
      <c r="C55" t="s">
        <v>63</v>
      </c>
      <c r="D55" t="e">
        <f t="shared" ca="1" si="4"/>
        <v>#NAME?</v>
      </c>
      <c r="E55" t="e">
        <f t="shared" ca="1" si="5"/>
        <v>#NAME?</v>
      </c>
      <c r="F55" t="e">
        <f t="shared" ca="1" si="6"/>
        <v>#NAME?</v>
      </c>
      <c r="G55" t="e">
        <f t="shared" ca="1" si="7"/>
        <v>#NAME?</v>
      </c>
    </row>
    <row r="56" spans="1:7" x14ac:dyDescent="0.45">
      <c r="A56" t="s">
        <v>170</v>
      </c>
      <c r="B56" t="s">
        <v>171</v>
      </c>
      <c r="C56" t="s">
        <v>63</v>
      </c>
      <c r="D56" t="e">
        <f t="shared" ca="1" si="4"/>
        <v>#NAME?</v>
      </c>
      <c r="E56" t="e">
        <f t="shared" ca="1" si="5"/>
        <v>#NAME?</v>
      </c>
      <c r="F56" t="e">
        <f t="shared" ca="1" si="6"/>
        <v>#NAME?</v>
      </c>
      <c r="G56" t="e">
        <f t="shared" ca="1" si="7"/>
        <v>#NAME?</v>
      </c>
    </row>
    <row r="57" spans="1:7" x14ac:dyDescent="0.45">
      <c r="A57" t="s">
        <v>172</v>
      </c>
      <c r="B57" t="s">
        <v>173</v>
      </c>
      <c r="C57" t="s">
        <v>63</v>
      </c>
      <c r="D57" t="e">
        <f t="shared" ca="1" si="4"/>
        <v>#NAME?</v>
      </c>
      <c r="E57" t="e">
        <f t="shared" ca="1" si="5"/>
        <v>#NAME?</v>
      </c>
      <c r="F57" t="e">
        <f t="shared" ca="1" si="6"/>
        <v>#NAME?</v>
      </c>
      <c r="G57" t="e">
        <f t="shared" ca="1" si="7"/>
        <v>#NAME?</v>
      </c>
    </row>
    <row r="58" spans="1:7" x14ac:dyDescent="0.45">
      <c r="A58" t="s">
        <v>174</v>
      </c>
      <c r="B58" t="s">
        <v>175</v>
      </c>
      <c r="C58" t="s">
        <v>63</v>
      </c>
      <c r="D58" t="e">
        <f t="shared" ca="1" si="4"/>
        <v>#NAME?</v>
      </c>
      <c r="E58" t="e">
        <f t="shared" ca="1" si="5"/>
        <v>#NAME?</v>
      </c>
      <c r="F58" t="e">
        <f t="shared" ca="1" si="6"/>
        <v>#NAME?</v>
      </c>
      <c r="G58" t="e">
        <f t="shared" ca="1" si="7"/>
        <v>#NAME?</v>
      </c>
    </row>
    <row r="59" spans="1:7" x14ac:dyDescent="0.45">
      <c r="A59" t="s">
        <v>176</v>
      </c>
      <c r="B59" t="s">
        <v>177</v>
      </c>
      <c r="C59" t="s">
        <v>63</v>
      </c>
      <c r="D59" t="e">
        <f t="shared" ca="1" si="4"/>
        <v>#NAME?</v>
      </c>
      <c r="E59" t="e">
        <f t="shared" ca="1" si="5"/>
        <v>#NAME?</v>
      </c>
      <c r="F59" t="e">
        <f t="shared" ca="1" si="6"/>
        <v>#NAME?</v>
      </c>
      <c r="G59" t="e">
        <f t="shared" ca="1" si="7"/>
        <v>#NAME?</v>
      </c>
    </row>
    <row r="60" spans="1:7" x14ac:dyDescent="0.45">
      <c r="A60" t="s">
        <v>178</v>
      </c>
      <c r="B60" t="s">
        <v>179</v>
      </c>
      <c r="C60" t="s">
        <v>63</v>
      </c>
      <c r="D60" t="e">
        <f t="shared" ca="1" si="4"/>
        <v>#NAME?</v>
      </c>
      <c r="E60" t="e">
        <f t="shared" ca="1" si="5"/>
        <v>#NAME?</v>
      </c>
      <c r="F60" t="e">
        <f t="shared" ca="1" si="6"/>
        <v>#NAME?</v>
      </c>
      <c r="G60" t="e">
        <f t="shared" ca="1" si="7"/>
        <v>#NAME?</v>
      </c>
    </row>
    <row r="61" spans="1:7" x14ac:dyDescent="0.45">
      <c r="A61" t="s">
        <v>180</v>
      </c>
      <c r="B61" t="s">
        <v>181</v>
      </c>
      <c r="C61" t="s">
        <v>63</v>
      </c>
      <c r="D61" t="e">
        <f t="shared" ca="1" si="4"/>
        <v>#NAME?</v>
      </c>
      <c r="E61" t="e">
        <f t="shared" ca="1" si="5"/>
        <v>#NAME?</v>
      </c>
      <c r="F61" t="e">
        <f t="shared" ca="1" si="6"/>
        <v>#NAME?</v>
      </c>
      <c r="G61" t="e">
        <f t="shared" ca="1" si="7"/>
        <v>#NAME?</v>
      </c>
    </row>
    <row r="62" spans="1:7" x14ac:dyDescent="0.45">
      <c r="A62" t="s">
        <v>182</v>
      </c>
      <c r="B62" t="s">
        <v>183</v>
      </c>
      <c r="C62" t="s">
        <v>63</v>
      </c>
      <c r="D62" t="e">
        <f t="shared" ca="1" si="4"/>
        <v>#NAME?</v>
      </c>
      <c r="E62" t="e">
        <f t="shared" ca="1" si="5"/>
        <v>#NAME?</v>
      </c>
      <c r="F62" t="e">
        <f t="shared" ca="1" si="6"/>
        <v>#NAME?</v>
      </c>
      <c r="G62" t="e">
        <f t="shared" ca="1" si="7"/>
        <v>#NAME?</v>
      </c>
    </row>
    <row r="63" spans="1:7" x14ac:dyDescent="0.45">
      <c r="A63" t="s">
        <v>184</v>
      </c>
      <c r="B63" t="s">
        <v>185</v>
      </c>
      <c r="C63" t="s">
        <v>63</v>
      </c>
      <c r="D63" t="e">
        <f t="shared" ca="1" si="4"/>
        <v>#NAME?</v>
      </c>
      <c r="E63" t="e">
        <f t="shared" ca="1" si="5"/>
        <v>#NAME?</v>
      </c>
      <c r="F63" t="e">
        <f t="shared" ca="1" si="6"/>
        <v>#NAME?</v>
      </c>
      <c r="G63" t="e">
        <f t="shared" ca="1" si="7"/>
        <v>#NAME?</v>
      </c>
    </row>
    <row r="64" spans="1:7" x14ac:dyDescent="0.45">
      <c r="A64" t="s">
        <v>186</v>
      </c>
      <c r="B64" t="s">
        <v>187</v>
      </c>
      <c r="C64" t="s">
        <v>63</v>
      </c>
      <c r="D64" t="e">
        <f t="shared" ca="1" si="4"/>
        <v>#NAME?</v>
      </c>
      <c r="E64" t="e">
        <f t="shared" ca="1" si="5"/>
        <v>#NAME?</v>
      </c>
      <c r="F64" t="e">
        <f t="shared" ca="1" si="6"/>
        <v>#NAME?</v>
      </c>
      <c r="G64" t="e">
        <f t="shared" ca="1" si="7"/>
        <v>#NAME?</v>
      </c>
    </row>
    <row r="65" spans="1:7" x14ac:dyDescent="0.45">
      <c r="A65" t="s">
        <v>188</v>
      </c>
      <c r="B65" t="s">
        <v>189</v>
      </c>
      <c r="C65" t="s">
        <v>63</v>
      </c>
      <c r="D65" t="e">
        <f t="shared" ca="1" si="4"/>
        <v>#NAME?</v>
      </c>
      <c r="E65" t="e">
        <f t="shared" ca="1" si="5"/>
        <v>#NAME?</v>
      </c>
      <c r="F65" t="e">
        <f t="shared" ca="1" si="6"/>
        <v>#NAME?</v>
      </c>
      <c r="G65" t="e">
        <f t="shared" ca="1" si="7"/>
        <v>#NAME?</v>
      </c>
    </row>
    <row r="66" spans="1:7" x14ac:dyDescent="0.45">
      <c r="A66" t="s">
        <v>190</v>
      </c>
      <c r="B66" t="s">
        <v>191</v>
      </c>
      <c r="C66" t="s">
        <v>63</v>
      </c>
      <c r="D66" t="e">
        <f t="shared" ref="D66:D81" ca="1" si="8">BDP(B66,"NAME")</f>
        <v>#NAME?</v>
      </c>
      <c r="E66" t="e">
        <f t="shared" ref="E66:E81" ca="1" si="9">BDP(B66,"PX_LAST")</f>
        <v>#NAME?</v>
      </c>
      <c r="F66" t="e">
        <f t="shared" ref="F66:F81" ca="1" si="10">BDP(B66,"GICS_SECTOR_NAME")</f>
        <v>#NAME?</v>
      </c>
      <c r="G66" t="e">
        <f t="shared" ref="G66:G81" ca="1" si="11">BDP(B66,"CUR_MKT_CAP")</f>
        <v>#NAME?</v>
      </c>
    </row>
    <row r="67" spans="1:7" x14ac:dyDescent="0.45">
      <c r="A67" t="s">
        <v>192</v>
      </c>
      <c r="B67" t="s">
        <v>193</v>
      </c>
      <c r="C67" t="s">
        <v>63</v>
      </c>
      <c r="D67" t="e">
        <f t="shared" ca="1" si="8"/>
        <v>#NAME?</v>
      </c>
      <c r="E67" t="e">
        <f t="shared" ca="1" si="9"/>
        <v>#NAME?</v>
      </c>
      <c r="F67" t="e">
        <f t="shared" ca="1" si="10"/>
        <v>#NAME?</v>
      </c>
      <c r="G67" t="e">
        <f t="shared" ca="1" si="11"/>
        <v>#NAME?</v>
      </c>
    </row>
    <row r="68" spans="1:7" x14ac:dyDescent="0.45">
      <c r="A68" t="s">
        <v>194</v>
      </c>
      <c r="B68" t="s">
        <v>195</v>
      </c>
      <c r="C68" t="s">
        <v>63</v>
      </c>
      <c r="D68" t="e">
        <f t="shared" ca="1" si="8"/>
        <v>#NAME?</v>
      </c>
      <c r="E68" t="e">
        <f t="shared" ca="1" si="9"/>
        <v>#NAME?</v>
      </c>
      <c r="F68" t="e">
        <f t="shared" ca="1" si="10"/>
        <v>#NAME?</v>
      </c>
      <c r="G68" t="e">
        <f t="shared" ca="1" si="11"/>
        <v>#NAME?</v>
      </c>
    </row>
    <row r="69" spans="1:7" x14ac:dyDescent="0.45">
      <c r="A69" t="s">
        <v>196</v>
      </c>
      <c r="B69" t="s">
        <v>197</v>
      </c>
      <c r="C69" t="s">
        <v>63</v>
      </c>
      <c r="D69" t="e">
        <f t="shared" ca="1" si="8"/>
        <v>#NAME?</v>
      </c>
      <c r="E69" t="e">
        <f t="shared" ca="1" si="9"/>
        <v>#NAME?</v>
      </c>
      <c r="F69" t="e">
        <f t="shared" ca="1" si="10"/>
        <v>#NAME?</v>
      </c>
      <c r="G69" t="e">
        <f t="shared" ca="1" si="11"/>
        <v>#NAME?</v>
      </c>
    </row>
    <row r="70" spans="1:7" x14ac:dyDescent="0.45">
      <c r="A70" t="s">
        <v>198</v>
      </c>
      <c r="B70" t="s">
        <v>199</v>
      </c>
      <c r="C70" t="s">
        <v>63</v>
      </c>
      <c r="D70" t="e">
        <f t="shared" ca="1" si="8"/>
        <v>#NAME?</v>
      </c>
      <c r="E70" t="e">
        <f t="shared" ca="1" si="9"/>
        <v>#NAME?</v>
      </c>
      <c r="F70" t="e">
        <f t="shared" ca="1" si="10"/>
        <v>#NAME?</v>
      </c>
      <c r="G70" t="e">
        <f t="shared" ca="1" si="11"/>
        <v>#NAME?</v>
      </c>
    </row>
    <row r="71" spans="1:7" x14ac:dyDescent="0.45">
      <c r="A71" t="s">
        <v>200</v>
      </c>
      <c r="B71" t="s">
        <v>201</v>
      </c>
      <c r="C71" t="s">
        <v>63</v>
      </c>
      <c r="D71" t="e">
        <f t="shared" ca="1" si="8"/>
        <v>#NAME?</v>
      </c>
      <c r="E71" t="e">
        <f t="shared" ca="1" si="9"/>
        <v>#NAME?</v>
      </c>
      <c r="F71" t="e">
        <f t="shared" ca="1" si="10"/>
        <v>#NAME?</v>
      </c>
      <c r="G71" t="e">
        <f t="shared" ca="1" si="11"/>
        <v>#NAME?</v>
      </c>
    </row>
    <row r="72" spans="1:7" x14ac:dyDescent="0.45">
      <c r="A72" t="s">
        <v>202</v>
      </c>
      <c r="B72" t="s">
        <v>203</v>
      </c>
      <c r="C72" t="s">
        <v>63</v>
      </c>
      <c r="D72" t="e">
        <f t="shared" ca="1" si="8"/>
        <v>#NAME?</v>
      </c>
      <c r="E72" t="e">
        <f t="shared" ca="1" si="9"/>
        <v>#NAME?</v>
      </c>
      <c r="F72" t="e">
        <f t="shared" ca="1" si="10"/>
        <v>#NAME?</v>
      </c>
      <c r="G72" t="e">
        <f t="shared" ca="1" si="11"/>
        <v>#NAME?</v>
      </c>
    </row>
    <row r="73" spans="1:7" x14ac:dyDescent="0.45">
      <c r="A73" t="s">
        <v>204</v>
      </c>
      <c r="B73" t="s">
        <v>205</v>
      </c>
      <c r="C73" t="s">
        <v>63</v>
      </c>
      <c r="D73" t="e">
        <f t="shared" ca="1" si="8"/>
        <v>#NAME?</v>
      </c>
      <c r="E73" t="e">
        <f t="shared" ca="1" si="9"/>
        <v>#NAME?</v>
      </c>
      <c r="F73" t="e">
        <f t="shared" ca="1" si="10"/>
        <v>#NAME?</v>
      </c>
      <c r="G73" t="e">
        <f t="shared" ca="1" si="11"/>
        <v>#NAME?</v>
      </c>
    </row>
    <row r="74" spans="1:7" x14ac:dyDescent="0.45">
      <c r="A74" t="s">
        <v>206</v>
      </c>
      <c r="B74" t="s">
        <v>207</v>
      </c>
      <c r="C74" t="s">
        <v>63</v>
      </c>
      <c r="D74" t="e">
        <f t="shared" ca="1" si="8"/>
        <v>#NAME?</v>
      </c>
      <c r="E74" t="e">
        <f t="shared" ca="1" si="9"/>
        <v>#NAME?</v>
      </c>
      <c r="F74" t="e">
        <f t="shared" ca="1" si="10"/>
        <v>#NAME?</v>
      </c>
      <c r="G74" t="e">
        <f t="shared" ca="1" si="11"/>
        <v>#NAME?</v>
      </c>
    </row>
    <row r="75" spans="1:7" x14ac:dyDescent="0.45">
      <c r="A75" t="s">
        <v>208</v>
      </c>
      <c r="B75" t="s">
        <v>209</v>
      </c>
      <c r="C75" t="s">
        <v>63</v>
      </c>
      <c r="D75" t="e">
        <f t="shared" ca="1" si="8"/>
        <v>#NAME?</v>
      </c>
      <c r="E75" t="e">
        <f t="shared" ca="1" si="9"/>
        <v>#NAME?</v>
      </c>
      <c r="F75" t="e">
        <f t="shared" ca="1" si="10"/>
        <v>#NAME?</v>
      </c>
      <c r="G75" t="e">
        <f t="shared" ca="1" si="11"/>
        <v>#NAME?</v>
      </c>
    </row>
    <row r="76" spans="1:7" x14ac:dyDescent="0.45">
      <c r="A76" t="s">
        <v>210</v>
      </c>
      <c r="B76" t="s">
        <v>211</v>
      </c>
      <c r="C76" t="s">
        <v>63</v>
      </c>
      <c r="D76" t="e">
        <f t="shared" ca="1" si="8"/>
        <v>#NAME?</v>
      </c>
      <c r="E76" t="e">
        <f t="shared" ca="1" si="9"/>
        <v>#NAME?</v>
      </c>
      <c r="F76" t="e">
        <f t="shared" ca="1" si="10"/>
        <v>#NAME?</v>
      </c>
      <c r="G76" t="e">
        <f t="shared" ca="1" si="11"/>
        <v>#NAME?</v>
      </c>
    </row>
    <row r="77" spans="1:7" x14ac:dyDescent="0.45">
      <c r="A77" t="s">
        <v>212</v>
      </c>
      <c r="B77" t="s">
        <v>213</v>
      </c>
      <c r="C77" t="s">
        <v>63</v>
      </c>
      <c r="D77" t="e">
        <f t="shared" ca="1" si="8"/>
        <v>#NAME?</v>
      </c>
      <c r="E77" t="e">
        <f t="shared" ca="1" si="9"/>
        <v>#NAME?</v>
      </c>
      <c r="F77" t="e">
        <f t="shared" ca="1" si="10"/>
        <v>#NAME?</v>
      </c>
      <c r="G77" t="e">
        <f t="shared" ca="1" si="11"/>
        <v>#NAME?</v>
      </c>
    </row>
    <row r="78" spans="1:7" x14ac:dyDescent="0.45">
      <c r="A78" t="s">
        <v>214</v>
      </c>
      <c r="B78" t="s">
        <v>215</v>
      </c>
      <c r="C78" t="s">
        <v>63</v>
      </c>
      <c r="D78" t="e">
        <f t="shared" ca="1" si="8"/>
        <v>#NAME?</v>
      </c>
      <c r="E78" t="e">
        <f t="shared" ca="1" si="9"/>
        <v>#NAME?</v>
      </c>
      <c r="F78" t="e">
        <f t="shared" ca="1" si="10"/>
        <v>#NAME?</v>
      </c>
      <c r="G78" t="e">
        <f t="shared" ca="1" si="11"/>
        <v>#NAME?</v>
      </c>
    </row>
    <row r="79" spans="1:7" x14ac:dyDescent="0.45">
      <c r="A79" t="s">
        <v>216</v>
      </c>
      <c r="B79" t="s">
        <v>217</v>
      </c>
      <c r="C79" t="s">
        <v>63</v>
      </c>
      <c r="D79" t="e">
        <f t="shared" ca="1" si="8"/>
        <v>#NAME?</v>
      </c>
      <c r="E79" t="e">
        <f t="shared" ca="1" si="9"/>
        <v>#NAME?</v>
      </c>
      <c r="F79" t="e">
        <f t="shared" ca="1" si="10"/>
        <v>#NAME?</v>
      </c>
      <c r="G79" t="e">
        <f t="shared" ca="1" si="11"/>
        <v>#NAME?</v>
      </c>
    </row>
    <row r="80" spans="1:7" x14ac:dyDescent="0.45">
      <c r="A80" t="s">
        <v>218</v>
      </c>
      <c r="B80" t="s">
        <v>219</v>
      </c>
      <c r="C80" t="s">
        <v>63</v>
      </c>
      <c r="D80" t="e">
        <f t="shared" ca="1" si="8"/>
        <v>#NAME?</v>
      </c>
      <c r="E80" t="e">
        <f t="shared" ca="1" si="9"/>
        <v>#NAME?</v>
      </c>
      <c r="F80" t="e">
        <f t="shared" ca="1" si="10"/>
        <v>#NAME?</v>
      </c>
      <c r="G80" t="e">
        <f t="shared" ca="1" si="11"/>
        <v>#NAME?</v>
      </c>
    </row>
    <row r="81" spans="1:7" x14ac:dyDescent="0.45">
      <c r="A81" t="s">
        <v>220</v>
      </c>
      <c r="B81" t="s">
        <v>221</v>
      </c>
      <c r="C81" t="s">
        <v>222</v>
      </c>
      <c r="D81" t="e">
        <f t="shared" ca="1" si="8"/>
        <v>#NAME?</v>
      </c>
      <c r="E81" t="e">
        <f t="shared" ca="1" si="9"/>
        <v>#NAME?</v>
      </c>
      <c r="F81" t="e">
        <f t="shared" ca="1" si="10"/>
        <v>#NAME?</v>
      </c>
      <c r="G81" t="e">
        <f t="shared" ca="1" si="11"/>
        <v>#NAME?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2"/>
  <sheetViews>
    <sheetView workbookViewId="0"/>
  </sheetViews>
  <sheetFormatPr defaultRowHeight="14.25" x14ac:dyDescent="0.45"/>
  <cols>
    <col min="1" max="1" width="12" customWidth="1"/>
    <col min="2" max="80" width="10" customWidth="1"/>
  </cols>
  <sheetData>
    <row r="1" spans="1:80" x14ac:dyDescent="0.45">
      <c r="A1" s="5" t="s">
        <v>223</v>
      </c>
      <c r="B1" s="6" t="s">
        <v>61</v>
      </c>
      <c r="C1" s="6" t="s">
        <v>64</v>
      </c>
      <c r="D1" s="6" t="s">
        <v>66</v>
      </c>
      <c r="E1" s="6" t="s">
        <v>68</v>
      </c>
      <c r="F1" s="6" t="s">
        <v>70</v>
      </c>
      <c r="G1" s="6" t="s">
        <v>72</v>
      </c>
      <c r="H1" s="6" t="s">
        <v>74</v>
      </c>
      <c r="I1" s="6" t="s">
        <v>76</v>
      </c>
      <c r="J1" s="6" t="s">
        <v>78</v>
      </c>
      <c r="K1" s="6" t="s">
        <v>80</v>
      </c>
      <c r="L1" s="6" t="s">
        <v>82</v>
      </c>
      <c r="M1" s="6" t="s">
        <v>84</v>
      </c>
      <c r="N1" s="6" t="s">
        <v>86</v>
      </c>
      <c r="O1" s="6" t="s">
        <v>88</v>
      </c>
      <c r="P1" s="6" t="s">
        <v>90</v>
      </c>
      <c r="Q1" s="6" t="s">
        <v>92</v>
      </c>
      <c r="R1" s="6" t="s">
        <v>94</v>
      </c>
      <c r="S1" s="6" t="s">
        <v>96</v>
      </c>
      <c r="T1" s="6" t="s">
        <v>98</v>
      </c>
      <c r="U1" s="6" t="s">
        <v>100</v>
      </c>
      <c r="V1" s="6" t="s">
        <v>102</v>
      </c>
      <c r="W1" s="6" t="s">
        <v>104</v>
      </c>
      <c r="X1" s="6" t="s">
        <v>106</v>
      </c>
      <c r="Y1" s="6" t="s">
        <v>108</v>
      </c>
      <c r="Z1" s="6" t="s">
        <v>110</v>
      </c>
      <c r="AA1" s="6" t="s">
        <v>112</v>
      </c>
      <c r="AB1" s="6" t="s">
        <v>114</v>
      </c>
      <c r="AC1" s="6" t="s">
        <v>116</v>
      </c>
      <c r="AD1" s="6" t="s">
        <v>118</v>
      </c>
      <c r="AE1" s="6" t="s">
        <v>120</v>
      </c>
      <c r="AF1" s="6" t="s">
        <v>122</v>
      </c>
      <c r="AG1" s="6" t="s">
        <v>124</v>
      </c>
      <c r="AH1" s="6" t="s">
        <v>126</v>
      </c>
      <c r="AI1" s="6" t="s">
        <v>128</v>
      </c>
      <c r="AJ1" s="6" t="s">
        <v>130</v>
      </c>
      <c r="AK1" s="6" t="s">
        <v>132</v>
      </c>
      <c r="AL1" s="6" t="s">
        <v>134</v>
      </c>
      <c r="AM1" s="6" t="s">
        <v>136</v>
      </c>
      <c r="AN1" s="6" t="s">
        <v>138</v>
      </c>
      <c r="AO1" s="6" t="s">
        <v>140</v>
      </c>
      <c r="AP1" s="6" t="s">
        <v>142</v>
      </c>
      <c r="AQ1" s="6" t="s">
        <v>144</v>
      </c>
      <c r="AR1" s="6" t="s">
        <v>146</v>
      </c>
      <c r="AS1" s="6" t="s">
        <v>148</v>
      </c>
      <c r="AT1" s="6" t="s">
        <v>150</v>
      </c>
      <c r="AU1" s="6" t="s">
        <v>152</v>
      </c>
      <c r="AV1" s="6" t="s">
        <v>154</v>
      </c>
      <c r="AW1" s="6" t="s">
        <v>156</v>
      </c>
      <c r="AX1" s="6" t="s">
        <v>158</v>
      </c>
      <c r="AY1" s="6" t="s">
        <v>160</v>
      </c>
      <c r="AZ1" s="6" t="s">
        <v>162</v>
      </c>
      <c r="BA1" s="6" t="s">
        <v>164</v>
      </c>
      <c r="BB1" s="6" t="s">
        <v>166</v>
      </c>
      <c r="BC1" s="6" t="s">
        <v>168</v>
      </c>
      <c r="BD1" s="6" t="s">
        <v>170</v>
      </c>
      <c r="BE1" s="6" t="s">
        <v>172</v>
      </c>
      <c r="BF1" s="6" t="s">
        <v>174</v>
      </c>
      <c r="BG1" s="6" t="s">
        <v>176</v>
      </c>
      <c r="BH1" s="6" t="s">
        <v>178</v>
      </c>
      <c r="BI1" s="6" t="s">
        <v>180</v>
      </c>
      <c r="BJ1" s="6" t="s">
        <v>182</v>
      </c>
      <c r="BK1" s="6" t="s">
        <v>184</v>
      </c>
      <c r="BL1" s="6" t="s">
        <v>186</v>
      </c>
      <c r="BM1" s="6" t="s">
        <v>188</v>
      </c>
      <c r="BN1" s="6" t="s">
        <v>190</v>
      </c>
      <c r="BO1" s="6" t="s">
        <v>192</v>
      </c>
      <c r="BP1" s="6" t="s">
        <v>194</v>
      </c>
      <c r="BQ1" s="6" t="s">
        <v>196</v>
      </c>
      <c r="BR1" s="6" t="s">
        <v>198</v>
      </c>
      <c r="BS1" s="6" t="s">
        <v>200</v>
      </c>
      <c r="BT1" s="6" t="s">
        <v>202</v>
      </c>
      <c r="BU1" s="6" t="s">
        <v>204</v>
      </c>
      <c r="BV1" s="6" t="s">
        <v>206</v>
      </c>
      <c r="BW1" s="6" t="s">
        <v>208</v>
      </c>
      <c r="BX1" s="6" t="s">
        <v>210</v>
      </c>
      <c r="BY1" s="6" t="s">
        <v>212</v>
      </c>
      <c r="BZ1" s="6" t="s">
        <v>214</v>
      </c>
      <c r="CA1" s="6" t="s">
        <v>216</v>
      </c>
      <c r="CB1" s="6" t="s">
        <v>218</v>
      </c>
    </row>
    <row r="2" spans="1:80" x14ac:dyDescent="0.45">
      <c r="A2" t="e">
        <f ca="1">BDH(Universe!B2,"PX_LAST",Control!$B$2,Control!$B$3,"Dir=V","Dts=S","Sort=A","CshAdjNormal=Y","CshAdjAbnormal=Y","CapChg=Y","Fill=P","Days=A")</f>
        <v>#NAME?</v>
      </c>
      <c r="C2" t="e">
        <f ca="1">BDH(Universe!B3,"PX_LAST",Control!$B$2,Control!$B$3,"Dir=V","Dts=H","Sort=A","CshAdjNormal=Y","CshAdjAbnormal=Y","CapChg=Y","Fill=P","Days=A")</f>
        <v>#NAME?</v>
      </c>
      <c r="D2" t="e">
        <f ca="1">BDH(Universe!B4,"PX_LAST",Control!$B$2,Control!$B$3,"Dir=V","Dts=H","Sort=A","CshAdjNormal=Y","CshAdjAbnormal=Y","CapChg=Y","Fill=P","Days=A")</f>
        <v>#NAME?</v>
      </c>
      <c r="E2" t="e">
        <f ca="1">BDH(Universe!B5,"PX_LAST",Control!$B$2,Control!$B$3,"Dir=V","Dts=H","Sort=A","CshAdjNormal=Y","CshAdjAbnormal=Y","CapChg=Y","Fill=P","Days=A")</f>
        <v>#NAME?</v>
      </c>
      <c r="F2" t="e">
        <f ca="1">BDH(Universe!B6,"PX_LAST",Control!$B$2,Control!$B$3,"Dir=V","Dts=H","Sort=A","CshAdjNormal=Y","CshAdjAbnormal=Y","CapChg=Y","Fill=P","Days=A")</f>
        <v>#NAME?</v>
      </c>
      <c r="G2" t="e">
        <f ca="1">BDH(Universe!B7,"PX_LAST",Control!$B$2,Control!$B$3,"Dir=V","Dts=H","Sort=A","CshAdjNormal=Y","CshAdjAbnormal=Y","CapChg=Y","Fill=P","Days=A")</f>
        <v>#NAME?</v>
      </c>
      <c r="H2" t="e">
        <f ca="1">BDH(Universe!B8,"PX_LAST",Control!$B$2,Control!$B$3,"Dir=V","Dts=H","Sort=A","CshAdjNormal=Y","CshAdjAbnormal=Y","CapChg=Y","Fill=P","Days=A")</f>
        <v>#NAME?</v>
      </c>
      <c r="I2" t="e">
        <f ca="1">BDH(Universe!B9,"PX_LAST",Control!$B$2,Control!$B$3,"Dir=V","Dts=H","Sort=A","CshAdjNormal=Y","CshAdjAbnormal=Y","CapChg=Y","Fill=P","Days=A")</f>
        <v>#NAME?</v>
      </c>
      <c r="J2" t="e">
        <f ca="1">BDH(Universe!B10,"PX_LAST",Control!$B$2,Control!$B$3,"Dir=V","Dts=H","Sort=A","CshAdjNormal=Y","CshAdjAbnormal=Y","CapChg=Y","Fill=P","Days=A")</f>
        <v>#NAME?</v>
      </c>
      <c r="K2" t="e">
        <f ca="1">BDH(Universe!B11,"PX_LAST",Control!$B$2,Control!$B$3,"Dir=V","Dts=H","Sort=A","CshAdjNormal=Y","CshAdjAbnormal=Y","CapChg=Y","Fill=P","Days=A")</f>
        <v>#NAME?</v>
      </c>
      <c r="L2" t="e">
        <f ca="1">BDH(Universe!B12,"PX_LAST",Control!$B$2,Control!$B$3,"Dir=V","Dts=H","Sort=A","CshAdjNormal=Y","CshAdjAbnormal=Y","CapChg=Y","Fill=P","Days=A")</f>
        <v>#NAME?</v>
      </c>
      <c r="M2" t="e">
        <f ca="1">BDH(Universe!B13,"PX_LAST",Control!$B$2,Control!$B$3,"Dir=V","Dts=H","Sort=A","CshAdjNormal=Y","CshAdjAbnormal=Y","CapChg=Y","Fill=P","Days=A")</f>
        <v>#NAME?</v>
      </c>
      <c r="N2" t="e">
        <f ca="1">BDH(Universe!B14,"PX_LAST",Control!$B$2,Control!$B$3,"Dir=V","Dts=H","Sort=A","CshAdjNormal=Y","CshAdjAbnormal=Y","CapChg=Y","Fill=P","Days=A")</f>
        <v>#NAME?</v>
      </c>
      <c r="O2" t="e">
        <f ca="1">BDH(Universe!B15,"PX_LAST",Control!$B$2,Control!$B$3,"Dir=V","Dts=H","Sort=A","CshAdjNormal=Y","CshAdjAbnormal=Y","CapChg=Y","Fill=P","Days=A")</f>
        <v>#NAME?</v>
      </c>
      <c r="P2" t="e">
        <f ca="1">BDH(Universe!B16,"PX_LAST",Control!$B$2,Control!$B$3,"Dir=V","Dts=H","Sort=A","CshAdjNormal=Y","CshAdjAbnormal=Y","CapChg=Y","Fill=P","Days=A")</f>
        <v>#NAME?</v>
      </c>
      <c r="Q2" t="e">
        <f ca="1">BDH(Universe!B17,"PX_LAST",Control!$B$2,Control!$B$3,"Dir=V","Dts=H","Sort=A","CshAdjNormal=Y","CshAdjAbnormal=Y","CapChg=Y","Fill=P","Days=A")</f>
        <v>#NAME?</v>
      </c>
      <c r="R2" t="e">
        <f ca="1">BDH(Universe!B18,"PX_LAST",Control!$B$2,Control!$B$3,"Dir=V","Dts=H","Sort=A","CshAdjNormal=Y","CshAdjAbnormal=Y","CapChg=Y","Fill=P","Days=A")</f>
        <v>#NAME?</v>
      </c>
      <c r="S2" t="e">
        <f ca="1">BDH(Universe!B19,"PX_LAST",Control!$B$2,Control!$B$3,"Dir=V","Dts=H","Sort=A","CshAdjNormal=Y","CshAdjAbnormal=Y","CapChg=Y","Fill=P","Days=A")</f>
        <v>#NAME?</v>
      </c>
      <c r="T2" t="e">
        <f ca="1">BDH(Universe!B20,"PX_LAST",Control!$B$2,Control!$B$3,"Dir=V","Dts=H","Sort=A","CshAdjNormal=Y","CshAdjAbnormal=Y","CapChg=Y","Fill=P","Days=A")</f>
        <v>#NAME?</v>
      </c>
      <c r="U2" t="e">
        <f ca="1">BDH(Universe!B21,"PX_LAST",Control!$B$2,Control!$B$3,"Dir=V","Dts=H","Sort=A","CshAdjNormal=Y","CshAdjAbnormal=Y","CapChg=Y","Fill=P","Days=A")</f>
        <v>#NAME?</v>
      </c>
      <c r="V2" t="e">
        <f ca="1">BDH(Universe!B22,"PX_LAST",Control!$B$2,Control!$B$3,"Dir=V","Dts=H","Sort=A","CshAdjNormal=Y","CshAdjAbnormal=Y","CapChg=Y","Fill=P","Days=A")</f>
        <v>#NAME?</v>
      </c>
      <c r="W2" t="e">
        <f ca="1">BDH(Universe!B23,"PX_LAST",Control!$B$2,Control!$B$3,"Dir=V","Dts=H","Sort=A","CshAdjNormal=Y","CshAdjAbnormal=Y","CapChg=Y","Fill=P","Days=A")</f>
        <v>#NAME?</v>
      </c>
      <c r="X2" t="e">
        <f ca="1">BDH(Universe!B24,"PX_LAST",Control!$B$2,Control!$B$3,"Dir=V","Dts=H","Sort=A","CshAdjNormal=Y","CshAdjAbnormal=Y","CapChg=Y","Fill=P","Days=A")</f>
        <v>#NAME?</v>
      </c>
      <c r="Y2" t="e">
        <f ca="1">BDH(Universe!B25,"PX_LAST",Control!$B$2,Control!$B$3,"Dir=V","Dts=H","Sort=A","CshAdjNormal=Y","CshAdjAbnormal=Y","CapChg=Y","Fill=P","Days=A")</f>
        <v>#NAME?</v>
      </c>
      <c r="Z2" t="e">
        <f ca="1">BDH(Universe!B26,"PX_LAST",Control!$B$2,Control!$B$3,"Dir=V","Dts=H","Sort=A","CshAdjNormal=Y","CshAdjAbnormal=Y","CapChg=Y","Fill=P","Days=A")</f>
        <v>#NAME?</v>
      </c>
      <c r="AA2" t="e">
        <f ca="1">BDH(Universe!B27,"PX_LAST",Control!$B$2,Control!$B$3,"Dir=V","Dts=H","Sort=A","CshAdjNormal=Y","CshAdjAbnormal=Y","CapChg=Y","Fill=P","Days=A")</f>
        <v>#NAME?</v>
      </c>
      <c r="AB2" t="e">
        <f ca="1">BDH(Universe!B28,"PX_LAST",Control!$B$2,Control!$B$3,"Dir=V","Dts=H","Sort=A","CshAdjNormal=Y","CshAdjAbnormal=Y","CapChg=Y","Fill=P","Days=A")</f>
        <v>#NAME?</v>
      </c>
      <c r="AC2" t="e">
        <f ca="1">BDH(Universe!B29,"PX_LAST",Control!$B$2,Control!$B$3,"Dir=V","Dts=H","Sort=A","CshAdjNormal=Y","CshAdjAbnormal=Y","CapChg=Y","Fill=P","Days=A")</f>
        <v>#NAME?</v>
      </c>
      <c r="AD2" t="e">
        <f ca="1">BDH(Universe!B30,"PX_LAST",Control!$B$2,Control!$B$3,"Dir=V","Dts=H","Sort=A","CshAdjNormal=Y","CshAdjAbnormal=Y","CapChg=Y","Fill=P","Days=A")</f>
        <v>#NAME?</v>
      </c>
      <c r="AE2" t="e">
        <f ca="1">BDH(Universe!B31,"PX_LAST",Control!$B$2,Control!$B$3,"Dir=V","Dts=H","Sort=A","CshAdjNormal=Y","CshAdjAbnormal=Y","CapChg=Y","Fill=P","Days=A")</f>
        <v>#NAME?</v>
      </c>
      <c r="AF2" t="e">
        <f ca="1">BDH(Universe!B32,"PX_LAST",Control!$B$2,Control!$B$3,"Dir=V","Dts=H","Sort=A","CshAdjNormal=Y","CshAdjAbnormal=Y","CapChg=Y","Fill=P","Days=A")</f>
        <v>#NAME?</v>
      </c>
      <c r="AG2" t="e">
        <f ca="1">BDH(Universe!B33,"PX_LAST",Control!$B$2,Control!$B$3,"Dir=V","Dts=H","Sort=A","CshAdjNormal=Y","CshAdjAbnormal=Y","CapChg=Y","Fill=P","Days=A")</f>
        <v>#NAME?</v>
      </c>
      <c r="AH2" t="e">
        <f ca="1">BDH(Universe!B34,"PX_LAST",Control!$B$2,Control!$B$3,"Dir=V","Dts=H","Sort=A","CshAdjNormal=Y","CshAdjAbnormal=Y","CapChg=Y","Fill=P","Days=A")</f>
        <v>#NAME?</v>
      </c>
      <c r="AI2" t="e">
        <f ca="1">BDH(Universe!B35,"PX_LAST",Control!$B$2,Control!$B$3,"Dir=V","Dts=H","Sort=A","CshAdjNormal=Y","CshAdjAbnormal=Y","CapChg=Y","Fill=P","Days=A")</f>
        <v>#NAME?</v>
      </c>
      <c r="AJ2" t="e">
        <f ca="1">BDH(Universe!B36,"PX_LAST",Control!$B$2,Control!$B$3,"Dir=V","Dts=H","Sort=A","CshAdjNormal=Y","CshAdjAbnormal=Y","CapChg=Y","Fill=P","Days=A")</f>
        <v>#NAME?</v>
      </c>
      <c r="AK2" t="e">
        <f ca="1">BDH(Universe!B37,"PX_LAST",Control!$B$2,Control!$B$3,"Dir=V","Dts=H","Sort=A","CshAdjNormal=Y","CshAdjAbnormal=Y","CapChg=Y","Fill=P","Days=A")</f>
        <v>#NAME?</v>
      </c>
      <c r="AL2" t="e">
        <f ca="1">BDH(Universe!B38,"PX_LAST",Control!$B$2,Control!$B$3,"Dir=V","Dts=H","Sort=A","CshAdjNormal=Y","CshAdjAbnormal=Y","CapChg=Y","Fill=P","Days=A")</f>
        <v>#NAME?</v>
      </c>
      <c r="AM2" t="e">
        <f ca="1">BDH(Universe!B39,"PX_LAST",Control!$B$2,Control!$B$3,"Dir=V","Dts=H","Sort=A","CshAdjNormal=Y","CshAdjAbnormal=Y","CapChg=Y","Fill=P","Days=A")</f>
        <v>#NAME?</v>
      </c>
      <c r="AN2" t="e">
        <f ca="1">BDH(Universe!B40,"PX_LAST",Control!$B$2,Control!$B$3,"Dir=V","Dts=H","Sort=A","CshAdjNormal=Y","CshAdjAbnormal=Y","CapChg=Y","Fill=P","Days=A")</f>
        <v>#NAME?</v>
      </c>
      <c r="AO2" t="e">
        <f ca="1">BDH(Universe!B41,"PX_LAST",Control!$B$2,Control!$B$3,"Dir=V","Dts=H","Sort=A","CshAdjNormal=Y","CshAdjAbnormal=Y","CapChg=Y","Fill=P","Days=A")</f>
        <v>#NAME?</v>
      </c>
      <c r="AP2" t="e">
        <f ca="1">BDH(Universe!B42,"PX_LAST",Control!$B$2,Control!$B$3,"Dir=V","Dts=H","Sort=A","CshAdjNormal=Y","CshAdjAbnormal=Y","CapChg=Y","Fill=P","Days=A")</f>
        <v>#NAME?</v>
      </c>
      <c r="AQ2" t="e">
        <f ca="1">BDH(Universe!B43,"PX_LAST",Control!$B$2,Control!$B$3,"Dir=V","Dts=H","Sort=A","CshAdjNormal=Y","CshAdjAbnormal=Y","CapChg=Y","Fill=P","Days=A")</f>
        <v>#NAME?</v>
      </c>
      <c r="AR2" t="e">
        <f ca="1">BDH(Universe!B44,"PX_LAST",Control!$B$2,Control!$B$3,"Dir=V","Dts=H","Sort=A","CshAdjNormal=Y","CshAdjAbnormal=Y","CapChg=Y","Fill=P","Days=A")</f>
        <v>#NAME?</v>
      </c>
      <c r="AS2" t="e">
        <f ca="1">BDH(Universe!B45,"PX_LAST",Control!$B$2,Control!$B$3,"Dir=V","Dts=H","Sort=A","CshAdjNormal=Y","CshAdjAbnormal=Y","CapChg=Y","Fill=P","Days=A")</f>
        <v>#NAME?</v>
      </c>
      <c r="AT2" t="e">
        <f ca="1">BDH(Universe!B46,"PX_LAST",Control!$B$2,Control!$B$3,"Dir=V","Dts=H","Sort=A","CshAdjNormal=Y","CshAdjAbnormal=Y","CapChg=Y","Fill=P","Days=A")</f>
        <v>#NAME?</v>
      </c>
      <c r="AU2" t="e">
        <f ca="1">BDH(Universe!B47,"PX_LAST",Control!$B$2,Control!$B$3,"Dir=V","Dts=H","Sort=A","CshAdjNormal=Y","CshAdjAbnormal=Y","CapChg=Y","Fill=P","Days=A")</f>
        <v>#NAME?</v>
      </c>
      <c r="AV2" t="e">
        <f ca="1">BDH(Universe!B48,"PX_LAST",Control!$B$2,Control!$B$3,"Dir=V","Dts=H","Sort=A","CshAdjNormal=Y","CshAdjAbnormal=Y","CapChg=Y","Fill=P","Days=A")</f>
        <v>#NAME?</v>
      </c>
      <c r="AW2" t="e">
        <f ca="1">BDH(Universe!B49,"PX_LAST",Control!$B$2,Control!$B$3,"Dir=V","Dts=H","Sort=A","CshAdjNormal=Y","CshAdjAbnormal=Y","CapChg=Y","Fill=P","Days=A")</f>
        <v>#NAME?</v>
      </c>
      <c r="AX2" t="e">
        <f ca="1">BDH(Universe!B50,"PX_LAST",Control!$B$2,Control!$B$3,"Dir=V","Dts=H","Sort=A","CshAdjNormal=Y","CshAdjAbnormal=Y","CapChg=Y","Fill=P","Days=A")</f>
        <v>#NAME?</v>
      </c>
      <c r="AY2" t="e">
        <f ca="1">BDH(Universe!B51,"PX_LAST",Control!$B$2,Control!$B$3,"Dir=V","Dts=H","Sort=A","CshAdjNormal=Y","CshAdjAbnormal=Y","CapChg=Y","Fill=P","Days=A")</f>
        <v>#NAME?</v>
      </c>
      <c r="AZ2" t="e">
        <f ca="1">BDH(Universe!B52,"PX_LAST",Control!$B$2,Control!$B$3,"Dir=V","Dts=H","Sort=A","CshAdjNormal=Y","CshAdjAbnormal=Y","CapChg=Y","Fill=P","Days=A")</f>
        <v>#NAME?</v>
      </c>
      <c r="BA2" t="e">
        <f ca="1">BDH(Universe!B53,"PX_LAST",Control!$B$2,Control!$B$3,"Dir=V","Dts=H","Sort=A","CshAdjNormal=Y","CshAdjAbnormal=Y","CapChg=Y","Fill=P","Days=A")</f>
        <v>#NAME?</v>
      </c>
      <c r="BB2" t="e">
        <f ca="1">BDH(Universe!B54,"PX_LAST",Control!$B$2,Control!$B$3,"Dir=V","Dts=H","Sort=A","CshAdjNormal=Y","CshAdjAbnormal=Y","CapChg=Y","Fill=P","Days=A")</f>
        <v>#NAME?</v>
      </c>
      <c r="BC2" t="e">
        <f ca="1">BDH(Universe!B55,"PX_LAST",Control!$B$2,Control!$B$3,"Dir=V","Dts=H","Sort=A","CshAdjNormal=Y","CshAdjAbnormal=Y","CapChg=Y","Fill=P","Days=A")</f>
        <v>#NAME?</v>
      </c>
      <c r="BD2" t="e">
        <f ca="1">BDH(Universe!B56,"PX_LAST",Control!$B$2,Control!$B$3,"Dir=V","Dts=H","Sort=A","CshAdjNormal=Y","CshAdjAbnormal=Y","CapChg=Y","Fill=P","Days=A")</f>
        <v>#NAME?</v>
      </c>
      <c r="BE2" t="e">
        <f ca="1">BDH(Universe!B57,"PX_LAST",Control!$B$2,Control!$B$3,"Dir=V","Dts=H","Sort=A","CshAdjNormal=Y","CshAdjAbnormal=Y","CapChg=Y","Fill=P","Days=A")</f>
        <v>#NAME?</v>
      </c>
      <c r="BF2" t="e">
        <f ca="1">BDH(Universe!B58,"PX_LAST",Control!$B$2,Control!$B$3,"Dir=V","Dts=H","Sort=A","CshAdjNormal=Y","CshAdjAbnormal=Y","CapChg=Y","Fill=P","Days=A")</f>
        <v>#NAME?</v>
      </c>
      <c r="BG2" t="e">
        <f ca="1">BDH(Universe!B59,"PX_LAST",Control!$B$2,Control!$B$3,"Dir=V","Dts=H","Sort=A","CshAdjNormal=Y","CshAdjAbnormal=Y","CapChg=Y","Fill=P","Days=A")</f>
        <v>#NAME?</v>
      </c>
      <c r="BH2" t="e">
        <f ca="1">BDH(Universe!B60,"PX_LAST",Control!$B$2,Control!$B$3,"Dir=V","Dts=H","Sort=A","CshAdjNormal=Y","CshAdjAbnormal=Y","CapChg=Y","Fill=P","Days=A")</f>
        <v>#NAME?</v>
      </c>
      <c r="BI2" t="e">
        <f ca="1">BDH(Universe!B61,"PX_LAST",Control!$B$2,Control!$B$3,"Dir=V","Dts=H","Sort=A","CshAdjNormal=Y","CshAdjAbnormal=Y","CapChg=Y","Fill=P","Days=A")</f>
        <v>#NAME?</v>
      </c>
      <c r="BJ2" t="e">
        <f ca="1">BDH(Universe!B62,"PX_LAST",Control!$B$2,Control!$B$3,"Dir=V","Dts=H","Sort=A","CshAdjNormal=Y","CshAdjAbnormal=Y","CapChg=Y","Fill=P","Days=A")</f>
        <v>#NAME?</v>
      </c>
      <c r="BK2" t="e">
        <f ca="1">BDH(Universe!B63,"PX_LAST",Control!$B$2,Control!$B$3,"Dir=V","Dts=H","Sort=A","CshAdjNormal=Y","CshAdjAbnormal=Y","CapChg=Y","Fill=P","Days=A")</f>
        <v>#NAME?</v>
      </c>
      <c r="BL2" t="e">
        <f ca="1">BDH(Universe!B64,"PX_LAST",Control!$B$2,Control!$B$3,"Dir=V","Dts=H","Sort=A","CshAdjNormal=Y","CshAdjAbnormal=Y","CapChg=Y","Fill=P","Days=A")</f>
        <v>#NAME?</v>
      </c>
      <c r="BM2" t="e">
        <f ca="1">BDH(Universe!B65,"PX_LAST",Control!$B$2,Control!$B$3,"Dir=V","Dts=H","Sort=A","CshAdjNormal=Y","CshAdjAbnormal=Y","CapChg=Y","Fill=P","Days=A")</f>
        <v>#NAME?</v>
      </c>
      <c r="BN2" t="e">
        <f ca="1">BDH(Universe!B66,"PX_LAST",Control!$B$2,Control!$B$3,"Dir=V","Dts=H","Sort=A","CshAdjNormal=Y","CshAdjAbnormal=Y","CapChg=Y","Fill=P","Days=A")</f>
        <v>#NAME?</v>
      </c>
      <c r="BO2" t="e">
        <f ca="1">BDH(Universe!B67,"PX_LAST",Control!$B$2,Control!$B$3,"Dir=V","Dts=H","Sort=A","CshAdjNormal=Y","CshAdjAbnormal=Y","CapChg=Y","Fill=P","Days=A")</f>
        <v>#NAME?</v>
      </c>
      <c r="BP2" t="e">
        <f ca="1">BDH(Universe!B68,"PX_LAST",Control!$B$2,Control!$B$3,"Dir=V","Dts=H","Sort=A","CshAdjNormal=Y","CshAdjAbnormal=Y","CapChg=Y","Fill=P","Days=A")</f>
        <v>#NAME?</v>
      </c>
      <c r="BQ2" t="e">
        <f ca="1">BDH(Universe!B69,"PX_LAST",Control!$B$2,Control!$B$3,"Dir=V","Dts=H","Sort=A","CshAdjNormal=Y","CshAdjAbnormal=Y","CapChg=Y","Fill=P","Days=A")</f>
        <v>#NAME?</v>
      </c>
      <c r="BR2" t="e">
        <f ca="1">BDH(Universe!B70,"PX_LAST",Control!$B$2,Control!$B$3,"Dir=V","Dts=H","Sort=A","CshAdjNormal=Y","CshAdjAbnormal=Y","CapChg=Y","Fill=P","Days=A")</f>
        <v>#NAME?</v>
      </c>
      <c r="BS2" t="e">
        <f ca="1">BDH(Universe!B71,"PX_LAST",Control!$B$2,Control!$B$3,"Dir=V","Dts=H","Sort=A","CshAdjNormal=Y","CshAdjAbnormal=Y","CapChg=Y","Fill=P","Days=A")</f>
        <v>#NAME?</v>
      </c>
      <c r="BT2" t="e">
        <f ca="1">BDH(Universe!B72,"PX_LAST",Control!$B$2,Control!$B$3,"Dir=V","Dts=H","Sort=A","CshAdjNormal=Y","CshAdjAbnormal=Y","CapChg=Y","Fill=P","Days=A")</f>
        <v>#NAME?</v>
      </c>
      <c r="BU2" t="e">
        <f ca="1">BDH(Universe!B73,"PX_LAST",Control!$B$2,Control!$B$3,"Dir=V","Dts=H","Sort=A","CshAdjNormal=Y","CshAdjAbnormal=Y","CapChg=Y","Fill=P","Days=A")</f>
        <v>#NAME?</v>
      </c>
      <c r="BV2" t="e">
        <f ca="1">BDH(Universe!B74,"PX_LAST",Control!$B$2,Control!$B$3,"Dir=V","Dts=H","Sort=A","CshAdjNormal=Y","CshAdjAbnormal=Y","CapChg=Y","Fill=P","Days=A")</f>
        <v>#NAME?</v>
      </c>
      <c r="BW2" t="e">
        <f ca="1">BDH(Universe!B75,"PX_LAST",Control!$B$2,Control!$B$3,"Dir=V","Dts=H","Sort=A","CshAdjNormal=Y","CshAdjAbnormal=Y","CapChg=Y","Fill=P","Days=A")</f>
        <v>#NAME?</v>
      </c>
      <c r="BX2" t="e">
        <f ca="1">BDH(Universe!B76,"PX_LAST",Control!$B$2,Control!$B$3,"Dir=V","Dts=H","Sort=A","CshAdjNormal=Y","CshAdjAbnormal=Y","CapChg=Y","Fill=P","Days=A")</f>
        <v>#NAME?</v>
      </c>
      <c r="BY2" t="e">
        <f ca="1">BDH(Universe!B77,"PX_LAST",Control!$B$2,Control!$B$3,"Dir=V","Dts=H","Sort=A","CshAdjNormal=Y","CshAdjAbnormal=Y","CapChg=Y","Fill=P","Days=A")</f>
        <v>#NAME?</v>
      </c>
      <c r="BZ2" t="e">
        <f ca="1">BDH(Universe!B78,"PX_LAST",Control!$B$2,Control!$B$3,"Dir=V","Dts=H","Sort=A","CshAdjNormal=Y","CshAdjAbnormal=Y","CapChg=Y","Fill=P","Days=A")</f>
        <v>#NAME?</v>
      </c>
      <c r="CA2" t="e">
        <f ca="1">BDH(Universe!B79,"PX_LAST",Control!$B$2,Control!$B$3,"Dir=V","Dts=H","Sort=A","CshAdjNormal=Y","CshAdjAbnormal=Y","CapChg=Y","Fill=P","Days=A")</f>
        <v>#NAME?</v>
      </c>
      <c r="CB2" t="e">
        <f ca="1">BDH(Universe!B80,"PX_LAST",Control!$B$2,Control!$B$3,"Dir=V","Dts=H","Sort=A","CshAdjNormal=Y","CshAdjAbnormal=Y","CapChg=Y","Fill=P","Days=A")</f>
        <v>#NAME?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workbookViewId="0"/>
  </sheetViews>
  <sheetFormatPr defaultRowHeight="14.25" x14ac:dyDescent="0.45"/>
  <cols>
    <col min="1" max="1" width="100" customWidth="1"/>
  </cols>
  <sheetData>
    <row r="1" spans="1:1" ht="15.75" x14ac:dyDescent="0.5">
      <c r="A1" s="1" t="s">
        <v>224</v>
      </c>
    </row>
    <row r="2" spans="1:1" x14ac:dyDescent="0.45">
      <c r="A2" t="s">
        <v>225</v>
      </c>
    </row>
    <row r="3" spans="1:1" x14ac:dyDescent="0.45">
      <c r="A3" t="s">
        <v>226</v>
      </c>
    </row>
    <row r="4" spans="1:1" x14ac:dyDescent="0.45">
      <c r="A4" t="s">
        <v>227</v>
      </c>
    </row>
    <row r="5" spans="1:1" x14ac:dyDescent="0.45">
      <c r="A5" t="s">
        <v>228</v>
      </c>
    </row>
    <row r="6" spans="1:1" x14ac:dyDescent="0.45">
      <c r="A6" t="s">
        <v>229</v>
      </c>
    </row>
    <row r="7" spans="1:1" x14ac:dyDescent="0.45">
      <c r="A7" t="s">
        <v>230</v>
      </c>
    </row>
    <row r="8" spans="1:1" x14ac:dyDescent="0.45">
      <c r="A8" t="s">
        <v>231</v>
      </c>
    </row>
    <row r="9" spans="1:1" x14ac:dyDescent="0.45">
      <c r="A9" t="s">
        <v>232</v>
      </c>
    </row>
    <row r="10" spans="1:1" x14ac:dyDescent="0.45">
      <c r="A10" t="s">
        <v>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2"/>
  <sheetViews>
    <sheetView workbookViewId="0"/>
  </sheetViews>
  <sheetFormatPr defaultRowHeight="14.25" x14ac:dyDescent="0.45"/>
  <sheetData>
    <row r="1" spans="1:80" x14ac:dyDescent="0.45">
      <c r="A1" s="7" t="s">
        <v>223</v>
      </c>
      <c r="B1" s="7" t="s">
        <v>61</v>
      </c>
      <c r="C1" s="7" t="s">
        <v>64</v>
      </c>
      <c r="D1" s="7" t="s">
        <v>66</v>
      </c>
      <c r="E1" s="7" t="s">
        <v>68</v>
      </c>
      <c r="F1" s="7" t="s">
        <v>70</v>
      </c>
      <c r="G1" s="7" t="s">
        <v>72</v>
      </c>
      <c r="H1" s="7" t="s">
        <v>74</v>
      </c>
      <c r="I1" s="7" t="s">
        <v>76</v>
      </c>
      <c r="J1" s="7" t="s">
        <v>78</v>
      </c>
      <c r="K1" s="7" t="s">
        <v>80</v>
      </c>
      <c r="L1" s="7" t="s">
        <v>82</v>
      </c>
      <c r="M1" s="7" t="s">
        <v>84</v>
      </c>
      <c r="N1" s="7" t="s">
        <v>86</v>
      </c>
      <c r="O1" s="7" t="s">
        <v>88</v>
      </c>
      <c r="P1" s="7" t="s">
        <v>90</v>
      </c>
      <c r="Q1" s="7" t="s">
        <v>92</v>
      </c>
      <c r="R1" s="7" t="s">
        <v>94</v>
      </c>
      <c r="S1" s="7" t="s">
        <v>96</v>
      </c>
      <c r="T1" s="7" t="s">
        <v>98</v>
      </c>
      <c r="U1" s="7" t="s">
        <v>100</v>
      </c>
      <c r="V1" s="7" t="s">
        <v>102</v>
      </c>
      <c r="W1" s="7" t="s">
        <v>104</v>
      </c>
      <c r="X1" s="7" t="s">
        <v>106</v>
      </c>
      <c r="Y1" s="7" t="s">
        <v>108</v>
      </c>
      <c r="Z1" s="7" t="s">
        <v>110</v>
      </c>
      <c r="AA1" s="7" t="s">
        <v>112</v>
      </c>
      <c r="AB1" s="7" t="s">
        <v>114</v>
      </c>
      <c r="AC1" s="7" t="s">
        <v>116</v>
      </c>
      <c r="AD1" s="7" t="s">
        <v>118</v>
      </c>
      <c r="AE1" s="7" t="s">
        <v>120</v>
      </c>
      <c r="AF1" s="7" t="s">
        <v>122</v>
      </c>
      <c r="AG1" s="7" t="s">
        <v>124</v>
      </c>
      <c r="AH1" s="7" t="s">
        <v>126</v>
      </c>
      <c r="AI1" s="7" t="s">
        <v>128</v>
      </c>
      <c r="AJ1" s="7" t="s">
        <v>130</v>
      </c>
      <c r="AK1" s="7" t="s">
        <v>132</v>
      </c>
      <c r="AL1" s="7" t="s">
        <v>134</v>
      </c>
      <c r="AM1" s="7" t="s">
        <v>136</v>
      </c>
      <c r="AN1" s="7" t="s">
        <v>138</v>
      </c>
      <c r="AO1" s="7" t="s">
        <v>140</v>
      </c>
      <c r="AP1" s="7" t="s">
        <v>142</v>
      </c>
      <c r="AQ1" s="7" t="s">
        <v>144</v>
      </c>
      <c r="AR1" s="7" t="s">
        <v>146</v>
      </c>
      <c r="AS1" s="7" t="s">
        <v>148</v>
      </c>
      <c r="AT1" s="7" t="s">
        <v>150</v>
      </c>
      <c r="AU1" s="7" t="s">
        <v>152</v>
      </c>
      <c r="AV1" s="7" t="s">
        <v>154</v>
      </c>
      <c r="AW1" s="7" t="s">
        <v>156</v>
      </c>
      <c r="AX1" s="7" t="s">
        <v>158</v>
      </c>
      <c r="AY1" s="7" t="s">
        <v>160</v>
      </c>
      <c r="AZ1" s="7" t="s">
        <v>162</v>
      </c>
      <c r="BA1" s="7" t="s">
        <v>164</v>
      </c>
      <c r="BB1" s="7" t="s">
        <v>166</v>
      </c>
      <c r="BC1" s="7" t="s">
        <v>168</v>
      </c>
      <c r="BD1" s="7" t="s">
        <v>170</v>
      </c>
      <c r="BE1" s="7" t="s">
        <v>172</v>
      </c>
      <c r="BF1" s="7" t="s">
        <v>174</v>
      </c>
      <c r="BG1" s="7" t="s">
        <v>176</v>
      </c>
      <c r="BH1" s="7" t="s">
        <v>178</v>
      </c>
      <c r="BI1" s="7" t="s">
        <v>180</v>
      </c>
      <c r="BJ1" s="7" t="s">
        <v>182</v>
      </c>
      <c r="BK1" s="7" t="s">
        <v>184</v>
      </c>
      <c r="BL1" s="7" t="s">
        <v>186</v>
      </c>
      <c r="BM1" s="7" t="s">
        <v>188</v>
      </c>
      <c r="BN1" s="7" t="s">
        <v>190</v>
      </c>
      <c r="BO1" s="7" t="s">
        <v>192</v>
      </c>
      <c r="BP1" s="7" t="s">
        <v>194</v>
      </c>
      <c r="BQ1" s="7" t="s">
        <v>196</v>
      </c>
      <c r="BR1" s="7" t="s">
        <v>198</v>
      </c>
      <c r="BS1" s="7" t="s">
        <v>200</v>
      </c>
      <c r="BT1" s="7" t="s">
        <v>202</v>
      </c>
      <c r="BU1" s="7" t="s">
        <v>204</v>
      </c>
      <c r="BV1" s="7" t="s">
        <v>206</v>
      </c>
      <c r="BW1" s="7" t="s">
        <v>208</v>
      </c>
      <c r="BX1" s="7" t="s">
        <v>210</v>
      </c>
      <c r="BY1" s="7" t="s">
        <v>212</v>
      </c>
      <c r="BZ1" s="7" t="s">
        <v>214</v>
      </c>
      <c r="CA1" s="7" t="s">
        <v>216</v>
      </c>
      <c r="CB1" s="7" t="s">
        <v>218</v>
      </c>
    </row>
    <row r="2" spans="1:80" x14ac:dyDescent="0.45">
      <c r="A2" t="e">
        <f ca="1">BDH(Universe!B2,Control!$B$5,Control!$B$2,Control!$B$3,"Dir=V","Dts=S","Sort=A","Per="&amp;Control!$B$6,"Fill=P")</f>
        <v>#NAME?</v>
      </c>
      <c r="C2" t="e">
        <f ca="1">BDH(Universe!B3,Control!$B$5,Control!$B$2,Control!$B$3,"Dir=V","Dts=H","Sort=A","Per="&amp;Control!$B$6,"Fill=P")</f>
        <v>#NAME?</v>
      </c>
      <c r="D2" t="e">
        <f ca="1">BDH(Universe!B4,Control!$B$5,Control!$B$2,Control!$B$3,"Dir=V","Dts=H","Sort=A","Per="&amp;Control!$B$6,"Fill=P")</f>
        <v>#NAME?</v>
      </c>
      <c r="E2" t="e">
        <f ca="1">BDH(Universe!B5,Control!$B$5,Control!$B$2,Control!$B$3,"Dir=V","Dts=H","Sort=A","Per="&amp;Control!$B$6,"Fill=P")</f>
        <v>#NAME?</v>
      </c>
      <c r="F2" t="e">
        <f ca="1">BDH(Universe!B6,Control!$B$5,Control!$B$2,Control!$B$3,"Dir=V","Dts=H","Sort=A","Per="&amp;Control!$B$6,"Fill=P")</f>
        <v>#NAME?</v>
      </c>
      <c r="G2" t="e">
        <f ca="1">BDH(Universe!B7,Control!$B$5,Control!$B$2,Control!$B$3,"Dir=V","Dts=H","Sort=A","Per="&amp;Control!$B$6,"Fill=P")</f>
        <v>#NAME?</v>
      </c>
      <c r="H2" t="e">
        <f ca="1">BDH(Universe!B8,Control!$B$5,Control!$B$2,Control!$B$3,"Dir=V","Dts=H","Sort=A","Per="&amp;Control!$B$6,"Fill=P")</f>
        <v>#NAME?</v>
      </c>
      <c r="I2" t="e">
        <f ca="1">BDH(Universe!B9,Control!$B$5,Control!$B$2,Control!$B$3,"Dir=V","Dts=H","Sort=A","Per="&amp;Control!$B$6,"Fill=P")</f>
        <v>#NAME?</v>
      </c>
      <c r="J2" t="e">
        <f ca="1">BDH(Universe!B10,Control!$B$5,Control!$B$2,Control!$B$3,"Dir=V","Dts=H","Sort=A","Per="&amp;Control!$B$6,"Fill=P")</f>
        <v>#NAME?</v>
      </c>
      <c r="K2" t="e">
        <f ca="1">BDH(Universe!B11,Control!$B$5,Control!$B$2,Control!$B$3,"Dir=V","Dts=H","Sort=A","Per="&amp;Control!$B$6,"Fill=P")</f>
        <v>#NAME?</v>
      </c>
      <c r="L2" t="e">
        <f ca="1">BDH(Universe!B12,Control!$B$5,Control!$B$2,Control!$B$3,"Dir=V","Dts=H","Sort=A","Per="&amp;Control!$B$6,"Fill=P")</f>
        <v>#NAME?</v>
      </c>
      <c r="M2" t="e">
        <f ca="1">BDH(Universe!B13,Control!$B$5,Control!$B$2,Control!$B$3,"Dir=V","Dts=H","Sort=A","Per="&amp;Control!$B$6,"Fill=P")</f>
        <v>#NAME?</v>
      </c>
      <c r="N2" t="e">
        <f ca="1">BDH(Universe!B14,Control!$B$5,Control!$B$2,Control!$B$3,"Dir=V","Dts=H","Sort=A","Per="&amp;Control!$B$6,"Fill=P")</f>
        <v>#NAME?</v>
      </c>
      <c r="O2" t="e">
        <f ca="1">BDH(Universe!B15,Control!$B$5,Control!$B$2,Control!$B$3,"Dir=V","Dts=H","Sort=A","Per="&amp;Control!$B$6,"Fill=P")</f>
        <v>#NAME?</v>
      </c>
      <c r="P2" t="e">
        <f ca="1">BDH(Universe!B16,Control!$B$5,Control!$B$2,Control!$B$3,"Dir=V","Dts=H","Sort=A","Per="&amp;Control!$B$6,"Fill=P")</f>
        <v>#NAME?</v>
      </c>
      <c r="Q2" t="e">
        <f ca="1">BDH(Universe!B17,Control!$B$5,Control!$B$2,Control!$B$3,"Dir=V","Dts=H","Sort=A","Per="&amp;Control!$B$6,"Fill=P")</f>
        <v>#NAME?</v>
      </c>
      <c r="R2" t="e">
        <f ca="1">BDH(Universe!B18,Control!$B$5,Control!$B$2,Control!$B$3,"Dir=V","Dts=H","Sort=A","Per="&amp;Control!$B$6,"Fill=P")</f>
        <v>#NAME?</v>
      </c>
      <c r="S2" t="e">
        <f ca="1">BDH(Universe!B19,Control!$B$5,Control!$B$2,Control!$B$3,"Dir=V","Dts=H","Sort=A","Per="&amp;Control!$B$6,"Fill=P")</f>
        <v>#NAME?</v>
      </c>
      <c r="T2" t="e">
        <f ca="1">BDH(Universe!B20,Control!$B$5,Control!$B$2,Control!$B$3,"Dir=V","Dts=H","Sort=A","Per="&amp;Control!$B$6,"Fill=P")</f>
        <v>#NAME?</v>
      </c>
      <c r="U2" t="e">
        <f ca="1">BDH(Universe!B21,Control!$B$5,Control!$B$2,Control!$B$3,"Dir=V","Dts=H","Sort=A","Per="&amp;Control!$B$6,"Fill=P")</f>
        <v>#NAME?</v>
      </c>
      <c r="V2" t="e">
        <f ca="1">BDH(Universe!B22,Control!$B$5,Control!$B$2,Control!$B$3,"Dir=V","Dts=H","Sort=A","Per="&amp;Control!$B$6,"Fill=P")</f>
        <v>#NAME?</v>
      </c>
      <c r="W2" t="e">
        <f ca="1">BDH(Universe!B23,Control!$B$5,Control!$B$2,Control!$B$3,"Dir=V","Dts=H","Sort=A","Per="&amp;Control!$B$6,"Fill=P")</f>
        <v>#NAME?</v>
      </c>
      <c r="X2" t="e">
        <f ca="1">BDH(Universe!B24,Control!$B$5,Control!$B$2,Control!$B$3,"Dir=V","Dts=H","Sort=A","Per="&amp;Control!$B$6,"Fill=P")</f>
        <v>#NAME?</v>
      </c>
      <c r="Y2" t="e">
        <f ca="1">BDH(Universe!B25,Control!$B$5,Control!$B$2,Control!$B$3,"Dir=V","Dts=H","Sort=A","Per="&amp;Control!$B$6,"Fill=P")</f>
        <v>#NAME?</v>
      </c>
      <c r="Z2" t="e">
        <f ca="1">BDH(Universe!B26,Control!$B$5,Control!$B$2,Control!$B$3,"Dir=V","Dts=H","Sort=A","Per="&amp;Control!$B$6,"Fill=P")</f>
        <v>#NAME?</v>
      </c>
      <c r="AA2" t="e">
        <f ca="1">BDH(Universe!B27,Control!$B$5,Control!$B$2,Control!$B$3,"Dir=V","Dts=H","Sort=A","Per="&amp;Control!$B$6,"Fill=P")</f>
        <v>#NAME?</v>
      </c>
      <c r="AB2" t="e">
        <f ca="1">BDH(Universe!B28,Control!$B$5,Control!$B$2,Control!$B$3,"Dir=V","Dts=H","Sort=A","Per="&amp;Control!$B$6,"Fill=P")</f>
        <v>#NAME?</v>
      </c>
      <c r="AC2" t="e">
        <f ca="1">BDH(Universe!B29,Control!$B$5,Control!$B$2,Control!$B$3,"Dir=V","Dts=H","Sort=A","Per="&amp;Control!$B$6,"Fill=P")</f>
        <v>#NAME?</v>
      </c>
      <c r="AD2" t="e">
        <f ca="1">BDH(Universe!B30,Control!$B$5,Control!$B$2,Control!$B$3,"Dir=V","Dts=H","Sort=A","Per="&amp;Control!$B$6,"Fill=P")</f>
        <v>#NAME?</v>
      </c>
      <c r="AE2" t="e">
        <f ca="1">BDH(Universe!B31,Control!$B$5,Control!$B$2,Control!$B$3,"Dir=V","Dts=H","Sort=A","Per="&amp;Control!$B$6,"Fill=P")</f>
        <v>#NAME?</v>
      </c>
      <c r="AF2" t="e">
        <f ca="1">BDH(Universe!B32,Control!$B$5,Control!$B$2,Control!$B$3,"Dir=V","Dts=H","Sort=A","Per="&amp;Control!$B$6,"Fill=P")</f>
        <v>#NAME?</v>
      </c>
      <c r="AG2" t="e">
        <f ca="1">BDH(Universe!B33,Control!$B$5,Control!$B$2,Control!$B$3,"Dir=V","Dts=H","Sort=A","Per="&amp;Control!$B$6,"Fill=P")</f>
        <v>#NAME?</v>
      </c>
      <c r="AH2" t="e">
        <f ca="1">BDH(Universe!B34,Control!$B$5,Control!$B$2,Control!$B$3,"Dir=V","Dts=H","Sort=A","Per="&amp;Control!$B$6,"Fill=P")</f>
        <v>#NAME?</v>
      </c>
      <c r="AI2" t="e">
        <f ca="1">BDH(Universe!B35,Control!$B$5,Control!$B$2,Control!$B$3,"Dir=V","Dts=H","Sort=A","Per="&amp;Control!$B$6,"Fill=P")</f>
        <v>#NAME?</v>
      </c>
      <c r="AJ2" t="e">
        <f ca="1">BDH(Universe!B36,Control!$B$5,Control!$B$2,Control!$B$3,"Dir=V","Dts=H","Sort=A","Per="&amp;Control!$B$6,"Fill=P")</f>
        <v>#NAME?</v>
      </c>
      <c r="AK2" t="e">
        <f ca="1">BDH(Universe!B37,Control!$B$5,Control!$B$2,Control!$B$3,"Dir=V","Dts=H","Sort=A","Per="&amp;Control!$B$6,"Fill=P")</f>
        <v>#NAME?</v>
      </c>
      <c r="AL2" t="e">
        <f ca="1">BDH(Universe!B38,Control!$B$5,Control!$B$2,Control!$B$3,"Dir=V","Dts=H","Sort=A","Per="&amp;Control!$B$6,"Fill=P")</f>
        <v>#NAME?</v>
      </c>
      <c r="AM2" t="e">
        <f ca="1">BDH(Universe!B39,Control!$B$5,Control!$B$2,Control!$B$3,"Dir=V","Dts=H","Sort=A","Per="&amp;Control!$B$6,"Fill=P")</f>
        <v>#NAME?</v>
      </c>
      <c r="AN2" t="e">
        <f ca="1">BDH(Universe!B40,Control!$B$5,Control!$B$2,Control!$B$3,"Dir=V","Dts=H","Sort=A","Per="&amp;Control!$B$6,"Fill=P")</f>
        <v>#NAME?</v>
      </c>
      <c r="AO2" t="e">
        <f ca="1">BDH(Universe!B41,Control!$B$5,Control!$B$2,Control!$B$3,"Dir=V","Dts=H","Sort=A","Per="&amp;Control!$B$6,"Fill=P")</f>
        <v>#NAME?</v>
      </c>
      <c r="AP2" t="e">
        <f ca="1">BDH(Universe!B42,Control!$B$5,Control!$B$2,Control!$B$3,"Dir=V","Dts=H","Sort=A","Per="&amp;Control!$B$6,"Fill=P")</f>
        <v>#NAME?</v>
      </c>
      <c r="AQ2" t="e">
        <f ca="1">BDH(Universe!B43,Control!$B$5,Control!$B$2,Control!$B$3,"Dir=V","Dts=H","Sort=A","Per="&amp;Control!$B$6,"Fill=P")</f>
        <v>#NAME?</v>
      </c>
      <c r="AR2" t="e">
        <f ca="1">BDH(Universe!B44,Control!$B$5,Control!$B$2,Control!$B$3,"Dir=V","Dts=H","Sort=A","Per="&amp;Control!$B$6,"Fill=P")</f>
        <v>#NAME?</v>
      </c>
      <c r="AS2" t="e">
        <f ca="1">BDH(Universe!B45,Control!$B$5,Control!$B$2,Control!$B$3,"Dir=V","Dts=H","Sort=A","Per="&amp;Control!$B$6,"Fill=P")</f>
        <v>#NAME?</v>
      </c>
      <c r="AT2" t="e">
        <f ca="1">BDH(Universe!B46,Control!$B$5,Control!$B$2,Control!$B$3,"Dir=V","Dts=H","Sort=A","Per="&amp;Control!$B$6,"Fill=P")</f>
        <v>#NAME?</v>
      </c>
      <c r="AU2" t="e">
        <f ca="1">BDH(Universe!B47,Control!$B$5,Control!$B$2,Control!$B$3,"Dir=V","Dts=H","Sort=A","Per="&amp;Control!$B$6,"Fill=P")</f>
        <v>#NAME?</v>
      </c>
      <c r="AV2" t="e">
        <f ca="1">BDH(Universe!B48,Control!$B$5,Control!$B$2,Control!$B$3,"Dir=V","Dts=H","Sort=A","Per="&amp;Control!$B$6,"Fill=P")</f>
        <v>#NAME?</v>
      </c>
      <c r="AW2" t="e">
        <f ca="1">BDH(Universe!B49,Control!$B$5,Control!$B$2,Control!$B$3,"Dir=V","Dts=H","Sort=A","Per="&amp;Control!$B$6,"Fill=P")</f>
        <v>#NAME?</v>
      </c>
      <c r="AX2" t="e">
        <f ca="1">BDH(Universe!B50,Control!$B$5,Control!$B$2,Control!$B$3,"Dir=V","Dts=H","Sort=A","Per="&amp;Control!$B$6,"Fill=P")</f>
        <v>#NAME?</v>
      </c>
      <c r="AY2" t="e">
        <f ca="1">BDH(Universe!B51,Control!$B$5,Control!$B$2,Control!$B$3,"Dir=V","Dts=H","Sort=A","Per="&amp;Control!$B$6,"Fill=P")</f>
        <v>#NAME?</v>
      </c>
      <c r="AZ2" t="e">
        <f ca="1">BDH(Universe!B52,Control!$B$5,Control!$B$2,Control!$B$3,"Dir=V","Dts=H","Sort=A","Per="&amp;Control!$B$6,"Fill=P")</f>
        <v>#NAME?</v>
      </c>
      <c r="BA2" t="e">
        <f ca="1">BDH(Universe!B53,Control!$B$5,Control!$B$2,Control!$B$3,"Dir=V","Dts=H","Sort=A","Per="&amp;Control!$B$6,"Fill=P")</f>
        <v>#NAME?</v>
      </c>
      <c r="BB2" t="e">
        <f ca="1">BDH(Universe!B54,Control!$B$5,Control!$B$2,Control!$B$3,"Dir=V","Dts=H","Sort=A","Per="&amp;Control!$B$6,"Fill=P")</f>
        <v>#NAME?</v>
      </c>
      <c r="BC2" t="e">
        <f ca="1">BDH(Universe!B55,Control!$B$5,Control!$B$2,Control!$B$3,"Dir=V","Dts=H","Sort=A","Per="&amp;Control!$B$6,"Fill=P")</f>
        <v>#NAME?</v>
      </c>
      <c r="BD2" t="e">
        <f ca="1">BDH(Universe!B56,Control!$B$5,Control!$B$2,Control!$B$3,"Dir=V","Dts=H","Sort=A","Per="&amp;Control!$B$6,"Fill=P")</f>
        <v>#NAME?</v>
      </c>
      <c r="BE2" t="e">
        <f ca="1">BDH(Universe!B57,Control!$B$5,Control!$B$2,Control!$B$3,"Dir=V","Dts=H","Sort=A","Per="&amp;Control!$B$6,"Fill=P")</f>
        <v>#NAME?</v>
      </c>
      <c r="BF2" t="e">
        <f ca="1">BDH(Universe!B58,Control!$B$5,Control!$B$2,Control!$B$3,"Dir=V","Dts=H","Sort=A","Per="&amp;Control!$B$6,"Fill=P")</f>
        <v>#NAME?</v>
      </c>
      <c r="BG2" t="e">
        <f ca="1">BDH(Universe!B59,Control!$B$5,Control!$B$2,Control!$B$3,"Dir=V","Dts=H","Sort=A","Per="&amp;Control!$B$6,"Fill=P")</f>
        <v>#NAME?</v>
      </c>
      <c r="BH2" t="e">
        <f ca="1">BDH(Universe!B60,Control!$B$5,Control!$B$2,Control!$B$3,"Dir=V","Dts=H","Sort=A","Per="&amp;Control!$B$6,"Fill=P")</f>
        <v>#NAME?</v>
      </c>
      <c r="BI2" t="e">
        <f ca="1">BDH(Universe!B61,Control!$B$5,Control!$B$2,Control!$B$3,"Dir=V","Dts=H","Sort=A","Per="&amp;Control!$B$6,"Fill=P")</f>
        <v>#NAME?</v>
      </c>
      <c r="BJ2" t="e">
        <f ca="1">BDH(Universe!B62,Control!$B$5,Control!$B$2,Control!$B$3,"Dir=V","Dts=H","Sort=A","Per="&amp;Control!$B$6,"Fill=P")</f>
        <v>#NAME?</v>
      </c>
      <c r="BK2" t="e">
        <f ca="1">BDH(Universe!B63,Control!$B$5,Control!$B$2,Control!$B$3,"Dir=V","Dts=H","Sort=A","Per="&amp;Control!$B$6,"Fill=P")</f>
        <v>#NAME?</v>
      </c>
      <c r="BL2" t="e">
        <f ca="1">BDH(Universe!B64,Control!$B$5,Control!$B$2,Control!$B$3,"Dir=V","Dts=H","Sort=A","Per="&amp;Control!$B$6,"Fill=P")</f>
        <v>#NAME?</v>
      </c>
      <c r="BM2" t="e">
        <f ca="1">BDH(Universe!B65,Control!$B$5,Control!$B$2,Control!$B$3,"Dir=V","Dts=H","Sort=A","Per="&amp;Control!$B$6,"Fill=P")</f>
        <v>#NAME?</v>
      </c>
      <c r="BN2" t="e">
        <f ca="1">BDH(Universe!B66,Control!$B$5,Control!$B$2,Control!$B$3,"Dir=V","Dts=H","Sort=A","Per="&amp;Control!$B$6,"Fill=P")</f>
        <v>#NAME?</v>
      </c>
      <c r="BO2" t="e">
        <f ca="1">BDH(Universe!B67,Control!$B$5,Control!$B$2,Control!$B$3,"Dir=V","Dts=H","Sort=A","Per="&amp;Control!$B$6,"Fill=P")</f>
        <v>#NAME?</v>
      </c>
      <c r="BP2" t="e">
        <f ca="1">BDH(Universe!B68,Control!$B$5,Control!$B$2,Control!$B$3,"Dir=V","Dts=H","Sort=A","Per="&amp;Control!$B$6,"Fill=P")</f>
        <v>#NAME?</v>
      </c>
      <c r="BQ2" t="e">
        <f ca="1">BDH(Universe!B69,Control!$B$5,Control!$B$2,Control!$B$3,"Dir=V","Dts=H","Sort=A","Per="&amp;Control!$B$6,"Fill=P")</f>
        <v>#NAME?</v>
      </c>
      <c r="BR2" t="e">
        <f ca="1">BDH(Universe!B70,Control!$B$5,Control!$B$2,Control!$B$3,"Dir=V","Dts=H","Sort=A","Per="&amp;Control!$B$6,"Fill=P")</f>
        <v>#NAME?</v>
      </c>
      <c r="BS2" t="e">
        <f ca="1">BDH(Universe!B71,Control!$B$5,Control!$B$2,Control!$B$3,"Dir=V","Dts=H","Sort=A","Per="&amp;Control!$B$6,"Fill=P")</f>
        <v>#NAME?</v>
      </c>
      <c r="BT2" t="e">
        <f ca="1">BDH(Universe!B72,Control!$B$5,Control!$B$2,Control!$B$3,"Dir=V","Dts=H","Sort=A","Per="&amp;Control!$B$6,"Fill=P")</f>
        <v>#NAME?</v>
      </c>
      <c r="BU2" t="e">
        <f ca="1">BDH(Universe!B73,Control!$B$5,Control!$B$2,Control!$B$3,"Dir=V","Dts=H","Sort=A","Per="&amp;Control!$B$6,"Fill=P")</f>
        <v>#NAME?</v>
      </c>
      <c r="BV2" t="e">
        <f ca="1">BDH(Universe!B74,Control!$B$5,Control!$B$2,Control!$B$3,"Dir=V","Dts=H","Sort=A","Per="&amp;Control!$B$6,"Fill=P")</f>
        <v>#NAME?</v>
      </c>
      <c r="BW2" t="e">
        <f ca="1">BDH(Universe!B75,Control!$B$5,Control!$B$2,Control!$B$3,"Dir=V","Dts=H","Sort=A","Per="&amp;Control!$B$6,"Fill=P")</f>
        <v>#NAME?</v>
      </c>
      <c r="BX2" t="e">
        <f ca="1">BDH(Universe!B76,Control!$B$5,Control!$B$2,Control!$B$3,"Dir=V","Dts=H","Sort=A","Per="&amp;Control!$B$6,"Fill=P")</f>
        <v>#NAME?</v>
      </c>
      <c r="BY2" t="e">
        <f ca="1">BDH(Universe!B77,Control!$B$5,Control!$B$2,Control!$B$3,"Dir=V","Dts=H","Sort=A","Per="&amp;Control!$B$6,"Fill=P")</f>
        <v>#NAME?</v>
      </c>
      <c r="BZ2" t="e">
        <f ca="1">BDH(Universe!B78,Control!$B$5,Control!$B$2,Control!$B$3,"Dir=V","Dts=H","Sort=A","Per="&amp;Control!$B$6,"Fill=P")</f>
        <v>#NAME?</v>
      </c>
      <c r="CA2" t="e">
        <f ca="1">BDH(Universe!B79,Control!$B$5,Control!$B$2,Control!$B$3,"Dir=V","Dts=H","Sort=A","Per="&amp;Control!$B$6,"Fill=P")</f>
        <v>#NAME?</v>
      </c>
      <c r="CB2" t="e">
        <f ca="1">BDH(Universe!B80,Control!$B$5,Control!$B$2,Control!$B$3,"Dir=V","Dts=H","Sort=A","Per="&amp;Control!$B$6,"Fill=P")</f>
        <v>#NAME?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"/>
  <sheetViews>
    <sheetView workbookViewId="0"/>
  </sheetViews>
  <sheetFormatPr defaultRowHeight="14.25" x14ac:dyDescent="0.45"/>
  <cols>
    <col min="1" max="1" width="100" customWidth="1"/>
  </cols>
  <sheetData>
    <row r="1" spans="1:1" x14ac:dyDescent="0.45">
      <c r="A1" s="8" t="s">
        <v>234</v>
      </c>
    </row>
    <row r="2" spans="1:1" x14ac:dyDescent="0.45">
      <c r="A2" t="s">
        <v>235</v>
      </c>
    </row>
    <row r="3" spans="1:1" x14ac:dyDescent="0.45">
      <c r="A3" t="s">
        <v>236</v>
      </c>
    </row>
    <row r="4" spans="1:1" x14ac:dyDescent="0.45">
      <c r="A4" t="s">
        <v>237</v>
      </c>
    </row>
    <row r="5" spans="1:1" x14ac:dyDescent="0.45">
      <c r="A5" t="s">
        <v>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0"/>
  <sheetViews>
    <sheetView workbookViewId="0"/>
  </sheetViews>
  <sheetFormatPr defaultRowHeight="14.25" x14ac:dyDescent="0.45"/>
  <cols>
    <col min="1" max="1" width="12" customWidth="1"/>
    <col min="2" max="2" width="24" customWidth="1"/>
    <col min="3" max="3" width="16" customWidth="1"/>
  </cols>
  <sheetData>
    <row r="1" spans="1:3" x14ac:dyDescent="0.45">
      <c r="A1" s="9" t="s">
        <v>239</v>
      </c>
      <c r="B1" s="9" t="s">
        <v>240</v>
      </c>
      <c r="C1" s="9" t="s">
        <v>241</v>
      </c>
    </row>
    <row r="2" spans="1:3" x14ac:dyDescent="0.45">
      <c r="A2" t="s">
        <v>61</v>
      </c>
      <c r="B2" t="e">
        <f ca="1">BDP(Universe!B2,"GICS_SECTOR_NAME")</f>
        <v>#NAME?</v>
      </c>
      <c r="C2" t="e">
        <f ca="1">BDP(Universe!B2,"CUR_MKT_CAP")</f>
        <v>#NAME?</v>
      </c>
    </row>
    <row r="3" spans="1:3" x14ac:dyDescent="0.45">
      <c r="A3" t="s">
        <v>64</v>
      </c>
      <c r="B3" t="e">
        <f ca="1">BDP(Universe!B3,"GICS_SECTOR_NAME")</f>
        <v>#NAME?</v>
      </c>
      <c r="C3" t="e">
        <f ca="1">BDP(Universe!B3,"CUR_MKT_CAP")</f>
        <v>#NAME?</v>
      </c>
    </row>
    <row r="4" spans="1:3" x14ac:dyDescent="0.45">
      <c r="A4" t="s">
        <v>66</v>
      </c>
      <c r="B4" t="e">
        <f ca="1">BDP(Universe!B4,"GICS_SECTOR_NAME")</f>
        <v>#NAME?</v>
      </c>
      <c r="C4" t="e">
        <f ca="1">BDP(Universe!B4,"CUR_MKT_CAP")</f>
        <v>#NAME?</v>
      </c>
    </row>
    <row r="5" spans="1:3" x14ac:dyDescent="0.45">
      <c r="A5" t="s">
        <v>68</v>
      </c>
      <c r="B5" t="e">
        <f ca="1">BDP(Universe!B5,"GICS_SECTOR_NAME")</f>
        <v>#NAME?</v>
      </c>
      <c r="C5" t="e">
        <f ca="1">BDP(Universe!B5,"CUR_MKT_CAP")</f>
        <v>#NAME?</v>
      </c>
    </row>
    <row r="6" spans="1:3" x14ac:dyDescent="0.45">
      <c r="A6" t="s">
        <v>70</v>
      </c>
      <c r="B6" t="e">
        <f ca="1">BDP(Universe!B6,"GICS_SECTOR_NAME")</f>
        <v>#NAME?</v>
      </c>
      <c r="C6" t="e">
        <f ca="1">BDP(Universe!B6,"CUR_MKT_CAP")</f>
        <v>#NAME?</v>
      </c>
    </row>
    <row r="7" spans="1:3" x14ac:dyDescent="0.45">
      <c r="A7" t="s">
        <v>72</v>
      </c>
      <c r="B7" t="e">
        <f ca="1">BDP(Universe!B7,"GICS_SECTOR_NAME")</f>
        <v>#NAME?</v>
      </c>
      <c r="C7" t="e">
        <f ca="1">BDP(Universe!B7,"CUR_MKT_CAP")</f>
        <v>#NAME?</v>
      </c>
    </row>
    <row r="8" spans="1:3" x14ac:dyDescent="0.45">
      <c r="A8" t="s">
        <v>74</v>
      </c>
      <c r="B8" t="e">
        <f ca="1">BDP(Universe!B8,"GICS_SECTOR_NAME")</f>
        <v>#NAME?</v>
      </c>
      <c r="C8" t="e">
        <f ca="1">BDP(Universe!B8,"CUR_MKT_CAP")</f>
        <v>#NAME?</v>
      </c>
    </row>
    <row r="9" spans="1:3" x14ac:dyDescent="0.45">
      <c r="A9" t="s">
        <v>76</v>
      </c>
      <c r="B9" t="e">
        <f ca="1">BDP(Universe!B9,"GICS_SECTOR_NAME")</f>
        <v>#NAME?</v>
      </c>
      <c r="C9" t="e">
        <f ca="1">BDP(Universe!B9,"CUR_MKT_CAP")</f>
        <v>#NAME?</v>
      </c>
    </row>
    <row r="10" spans="1:3" x14ac:dyDescent="0.45">
      <c r="A10" t="s">
        <v>78</v>
      </c>
      <c r="B10" t="e">
        <f ca="1">BDP(Universe!B10,"GICS_SECTOR_NAME")</f>
        <v>#NAME?</v>
      </c>
      <c r="C10" t="e">
        <f ca="1">BDP(Universe!B10,"CUR_MKT_CAP")</f>
        <v>#NAME?</v>
      </c>
    </row>
    <row r="11" spans="1:3" x14ac:dyDescent="0.45">
      <c r="A11" t="s">
        <v>80</v>
      </c>
      <c r="B11" t="e">
        <f ca="1">BDP(Universe!B11,"GICS_SECTOR_NAME")</f>
        <v>#NAME?</v>
      </c>
      <c r="C11" t="e">
        <f ca="1">BDP(Universe!B11,"CUR_MKT_CAP")</f>
        <v>#NAME?</v>
      </c>
    </row>
    <row r="12" spans="1:3" x14ac:dyDescent="0.45">
      <c r="A12" t="s">
        <v>82</v>
      </c>
      <c r="B12" t="e">
        <f ca="1">BDP(Universe!B12,"GICS_SECTOR_NAME")</f>
        <v>#NAME?</v>
      </c>
      <c r="C12" t="e">
        <f ca="1">BDP(Universe!B12,"CUR_MKT_CAP")</f>
        <v>#NAME?</v>
      </c>
    </row>
    <row r="13" spans="1:3" x14ac:dyDescent="0.45">
      <c r="A13" t="s">
        <v>84</v>
      </c>
      <c r="B13" t="e">
        <f ca="1">BDP(Universe!B13,"GICS_SECTOR_NAME")</f>
        <v>#NAME?</v>
      </c>
      <c r="C13" t="e">
        <f ca="1">BDP(Universe!B13,"CUR_MKT_CAP")</f>
        <v>#NAME?</v>
      </c>
    </row>
    <row r="14" spans="1:3" x14ac:dyDescent="0.45">
      <c r="A14" t="s">
        <v>86</v>
      </c>
      <c r="B14" t="e">
        <f ca="1">BDP(Universe!B14,"GICS_SECTOR_NAME")</f>
        <v>#NAME?</v>
      </c>
      <c r="C14" t="e">
        <f ca="1">BDP(Universe!B14,"CUR_MKT_CAP")</f>
        <v>#NAME?</v>
      </c>
    </row>
    <row r="15" spans="1:3" x14ac:dyDescent="0.45">
      <c r="A15" t="s">
        <v>88</v>
      </c>
      <c r="B15" t="e">
        <f ca="1">BDP(Universe!B15,"GICS_SECTOR_NAME")</f>
        <v>#NAME?</v>
      </c>
      <c r="C15" t="e">
        <f ca="1">BDP(Universe!B15,"CUR_MKT_CAP")</f>
        <v>#NAME?</v>
      </c>
    </row>
    <row r="16" spans="1:3" x14ac:dyDescent="0.45">
      <c r="A16" t="s">
        <v>90</v>
      </c>
      <c r="B16" t="e">
        <f ca="1">BDP(Universe!B16,"GICS_SECTOR_NAME")</f>
        <v>#NAME?</v>
      </c>
      <c r="C16" t="e">
        <f ca="1">BDP(Universe!B16,"CUR_MKT_CAP")</f>
        <v>#NAME?</v>
      </c>
    </row>
    <row r="17" spans="1:3" x14ac:dyDescent="0.45">
      <c r="A17" t="s">
        <v>92</v>
      </c>
      <c r="B17" t="e">
        <f ca="1">BDP(Universe!B17,"GICS_SECTOR_NAME")</f>
        <v>#NAME?</v>
      </c>
      <c r="C17" t="e">
        <f ca="1">BDP(Universe!B17,"CUR_MKT_CAP")</f>
        <v>#NAME?</v>
      </c>
    </row>
    <row r="18" spans="1:3" x14ac:dyDescent="0.45">
      <c r="A18" t="s">
        <v>94</v>
      </c>
      <c r="B18" t="e">
        <f ca="1">BDP(Universe!B18,"GICS_SECTOR_NAME")</f>
        <v>#NAME?</v>
      </c>
      <c r="C18" t="e">
        <f ca="1">BDP(Universe!B18,"CUR_MKT_CAP")</f>
        <v>#NAME?</v>
      </c>
    </row>
    <row r="19" spans="1:3" x14ac:dyDescent="0.45">
      <c r="A19" t="s">
        <v>96</v>
      </c>
      <c r="B19" t="e">
        <f ca="1">BDP(Universe!B19,"GICS_SECTOR_NAME")</f>
        <v>#NAME?</v>
      </c>
      <c r="C19" t="e">
        <f ca="1">BDP(Universe!B19,"CUR_MKT_CAP")</f>
        <v>#NAME?</v>
      </c>
    </row>
    <row r="20" spans="1:3" x14ac:dyDescent="0.45">
      <c r="A20" t="s">
        <v>98</v>
      </c>
      <c r="B20" t="e">
        <f ca="1">BDP(Universe!B20,"GICS_SECTOR_NAME")</f>
        <v>#NAME?</v>
      </c>
      <c r="C20" t="e">
        <f ca="1">BDP(Universe!B20,"CUR_MKT_CAP")</f>
        <v>#NAME?</v>
      </c>
    </row>
    <row r="21" spans="1:3" x14ac:dyDescent="0.45">
      <c r="A21" t="s">
        <v>100</v>
      </c>
      <c r="B21" t="e">
        <f ca="1">BDP(Universe!B21,"GICS_SECTOR_NAME")</f>
        <v>#NAME?</v>
      </c>
      <c r="C21" t="e">
        <f ca="1">BDP(Universe!B21,"CUR_MKT_CAP")</f>
        <v>#NAME?</v>
      </c>
    </row>
    <row r="22" spans="1:3" x14ac:dyDescent="0.45">
      <c r="A22" t="s">
        <v>102</v>
      </c>
      <c r="B22" t="e">
        <f ca="1">BDP(Universe!B22,"GICS_SECTOR_NAME")</f>
        <v>#NAME?</v>
      </c>
      <c r="C22" t="e">
        <f ca="1">BDP(Universe!B22,"CUR_MKT_CAP")</f>
        <v>#NAME?</v>
      </c>
    </row>
    <row r="23" spans="1:3" x14ac:dyDescent="0.45">
      <c r="A23" t="s">
        <v>104</v>
      </c>
      <c r="B23" t="e">
        <f ca="1">BDP(Universe!B23,"GICS_SECTOR_NAME")</f>
        <v>#NAME?</v>
      </c>
      <c r="C23" t="e">
        <f ca="1">BDP(Universe!B23,"CUR_MKT_CAP")</f>
        <v>#NAME?</v>
      </c>
    </row>
    <row r="24" spans="1:3" x14ac:dyDescent="0.45">
      <c r="A24" t="s">
        <v>106</v>
      </c>
      <c r="B24" t="e">
        <f ca="1">BDP(Universe!B24,"GICS_SECTOR_NAME")</f>
        <v>#NAME?</v>
      </c>
      <c r="C24" t="e">
        <f ca="1">BDP(Universe!B24,"CUR_MKT_CAP")</f>
        <v>#NAME?</v>
      </c>
    </row>
    <row r="25" spans="1:3" x14ac:dyDescent="0.45">
      <c r="A25" t="s">
        <v>108</v>
      </c>
      <c r="B25" t="e">
        <f ca="1">BDP(Universe!B25,"GICS_SECTOR_NAME")</f>
        <v>#NAME?</v>
      </c>
      <c r="C25" t="e">
        <f ca="1">BDP(Universe!B25,"CUR_MKT_CAP")</f>
        <v>#NAME?</v>
      </c>
    </row>
    <row r="26" spans="1:3" x14ac:dyDescent="0.45">
      <c r="A26" t="s">
        <v>110</v>
      </c>
      <c r="B26" t="e">
        <f ca="1">BDP(Universe!B26,"GICS_SECTOR_NAME")</f>
        <v>#NAME?</v>
      </c>
      <c r="C26" t="e">
        <f ca="1">BDP(Universe!B26,"CUR_MKT_CAP")</f>
        <v>#NAME?</v>
      </c>
    </row>
    <row r="27" spans="1:3" x14ac:dyDescent="0.45">
      <c r="A27" t="s">
        <v>112</v>
      </c>
      <c r="B27" t="e">
        <f ca="1">BDP(Universe!B27,"GICS_SECTOR_NAME")</f>
        <v>#NAME?</v>
      </c>
      <c r="C27" t="e">
        <f ca="1">BDP(Universe!B27,"CUR_MKT_CAP")</f>
        <v>#NAME?</v>
      </c>
    </row>
    <row r="28" spans="1:3" x14ac:dyDescent="0.45">
      <c r="A28" t="s">
        <v>114</v>
      </c>
      <c r="B28" t="e">
        <f ca="1">BDP(Universe!B28,"GICS_SECTOR_NAME")</f>
        <v>#NAME?</v>
      </c>
      <c r="C28" t="e">
        <f ca="1">BDP(Universe!B28,"CUR_MKT_CAP")</f>
        <v>#NAME?</v>
      </c>
    </row>
    <row r="29" spans="1:3" x14ac:dyDescent="0.45">
      <c r="A29" t="s">
        <v>116</v>
      </c>
      <c r="B29" t="e">
        <f ca="1">BDP(Universe!B29,"GICS_SECTOR_NAME")</f>
        <v>#NAME?</v>
      </c>
      <c r="C29" t="e">
        <f ca="1">BDP(Universe!B29,"CUR_MKT_CAP")</f>
        <v>#NAME?</v>
      </c>
    </row>
    <row r="30" spans="1:3" x14ac:dyDescent="0.45">
      <c r="A30" t="s">
        <v>118</v>
      </c>
      <c r="B30" t="e">
        <f ca="1">BDP(Universe!B30,"GICS_SECTOR_NAME")</f>
        <v>#NAME?</v>
      </c>
      <c r="C30" t="e">
        <f ca="1">BDP(Universe!B30,"CUR_MKT_CAP")</f>
        <v>#NAME?</v>
      </c>
    </row>
    <row r="31" spans="1:3" x14ac:dyDescent="0.45">
      <c r="A31" t="s">
        <v>120</v>
      </c>
      <c r="B31" t="e">
        <f ca="1">BDP(Universe!B31,"GICS_SECTOR_NAME")</f>
        <v>#NAME?</v>
      </c>
      <c r="C31" t="e">
        <f ca="1">BDP(Universe!B31,"CUR_MKT_CAP")</f>
        <v>#NAME?</v>
      </c>
    </row>
    <row r="32" spans="1:3" x14ac:dyDescent="0.45">
      <c r="A32" t="s">
        <v>122</v>
      </c>
      <c r="B32" t="e">
        <f ca="1">BDP(Universe!B32,"GICS_SECTOR_NAME")</f>
        <v>#NAME?</v>
      </c>
      <c r="C32" t="e">
        <f ca="1">BDP(Universe!B32,"CUR_MKT_CAP")</f>
        <v>#NAME?</v>
      </c>
    </row>
    <row r="33" spans="1:3" x14ac:dyDescent="0.45">
      <c r="A33" t="s">
        <v>124</v>
      </c>
      <c r="B33" t="e">
        <f ca="1">BDP(Universe!B33,"GICS_SECTOR_NAME")</f>
        <v>#NAME?</v>
      </c>
      <c r="C33" t="e">
        <f ca="1">BDP(Universe!B33,"CUR_MKT_CAP")</f>
        <v>#NAME?</v>
      </c>
    </row>
    <row r="34" spans="1:3" x14ac:dyDescent="0.45">
      <c r="A34" t="s">
        <v>126</v>
      </c>
      <c r="B34" t="e">
        <f ca="1">BDP(Universe!B34,"GICS_SECTOR_NAME")</f>
        <v>#NAME?</v>
      </c>
      <c r="C34" t="e">
        <f ca="1">BDP(Universe!B34,"CUR_MKT_CAP")</f>
        <v>#NAME?</v>
      </c>
    </row>
    <row r="35" spans="1:3" x14ac:dyDescent="0.45">
      <c r="A35" t="s">
        <v>128</v>
      </c>
      <c r="B35" t="e">
        <f ca="1">BDP(Universe!B35,"GICS_SECTOR_NAME")</f>
        <v>#NAME?</v>
      </c>
      <c r="C35" t="e">
        <f ca="1">BDP(Universe!B35,"CUR_MKT_CAP")</f>
        <v>#NAME?</v>
      </c>
    </row>
    <row r="36" spans="1:3" x14ac:dyDescent="0.45">
      <c r="A36" t="s">
        <v>130</v>
      </c>
      <c r="B36" t="e">
        <f ca="1">BDP(Universe!B36,"GICS_SECTOR_NAME")</f>
        <v>#NAME?</v>
      </c>
      <c r="C36" t="e">
        <f ca="1">BDP(Universe!B36,"CUR_MKT_CAP")</f>
        <v>#NAME?</v>
      </c>
    </row>
    <row r="37" spans="1:3" x14ac:dyDescent="0.45">
      <c r="A37" t="s">
        <v>132</v>
      </c>
      <c r="B37" t="e">
        <f ca="1">BDP(Universe!B37,"GICS_SECTOR_NAME")</f>
        <v>#NAME?</v>
      </c>
      <c r="C37" t="e">
        <f ca="1">BDP(Universe!B37,"CUR_MKT_CAP")</f>
        <v>#NAME?</v>
      </c>
    </row>
    <row r="38" spans="1:3" x14ac:dyDescent="0.45">
      <c r="A38" t="s">
        <v>134</v>
      </c>
      <c r="B38" t="e">
        <f ca="1">BDP(Universe!B38,"GICS_SECTOR_NAME")</f>
        <v>#NAME?</v>
      </c>
      <c r="C38" t="e">
        <f ca="1">BDP(Universe!B38,"CUR_MKT_CAP")</f>
        <v>#NAME?</v>
      </c>
    </row>
    <row r="39" spans="1:3" x14ac:dyDescent="0.45">
      <c r="A39" t="s">
        <v>136</v>
      </c>
      <c r="B39" t="e">
        <f ca="1">BDP(Universe!B39,"GICS_SECTOR_NAME")</f>
        <v>#NAME?</v>
      </c>
      <c r="C39" t="e">
        <f ca="1">BDP(Universe!B39,"CUR_MKT_CAP")</f>
        <v>#NAME?</v>
      </c>
    </row>
    <row r="40" spans="1:3" x14ac:dyDescent="0.45">
      <c r="A40" t="s">
        <v>138</v>
      </c>
      <c r="B40" t="e">
        <f ca="1">BDP(Universe!B40,"GICS_SECTOR_NAME")</f>
        <v>#NAME?</v>
      </c>
      <c r="C40" t="e">
        <f ca="1">BDP(Universe!B40,"CUR_MKT_CAP")</f>
        <v>#NAME?</v>
      </c>
    </row>
    <row r="41" spans="1:3" x14ac:dyDescent="0.45">
      <c r="A41" t="s">
        <v>140</v>
      </c>
      <c r="B41" t="e">
        <f ca="1">BDP(Universe!B41,"GICS_SECTOR_NAME")</f>
        <v>#NAME?</v>
      </c>
      <c r="C41" t="e">
        <f ca="1">BDP(Universe!B41,"CUR_MKT_CAP")</f>
        <v>#NAME?</v>
      </c>
    </row>
    <row r="42" spans="1:3" x14ac:dyDescent="0.45">
      <c r="A42" t="s">
        <v>142</v>
      </c>
      <c r="B42" t="e">
        <f ca="1">BDP(Universe!B42,"GICS_SECTOR_NAME")</f>
        <v>#NAME?</v>
      </c>
      <c r="C42" t="e">
        <f ca="1">BDP(Universe!B42,"CUR_MKT_CAP")</f>
        <v>#NAME?</v>
      </c>
    </row>
    <row r="43" spans="1:3" x14ac:dyDescent="0.45">
      <c r="A43" t="s">
        <v>144</v>
      </c>
      <c r="B43" t="e">
        <f ca="1">BDP(Universe!B43,"GICS_SECTOR_NAME")</f>
        <v>#NAME?</v>
      </c>
      <c r="C43" t="e">
        <f ca="1">BDP(Universe!B43,"CUR_MKT_CAP")</f>
        <v>#NAME?</v>
      </c>
    </row>
    <row r="44" spans="1:3" x14ac:dyDescent="0.45">
      <c r="A44" t="s">
        <v>146</v>
      </c>
      <c r="B44" t="e">
        <f ca="1">BDP(Universe!B44,"GICS_SECTOR_NAME")</f>
        <v>#NAME?</v>
      </c>
      <c r="C44" t="e">
        <f ca="1">BDP(Universe!B44,"CUR_MKT_CAP")</f>
        <v>#NAME?</v>
      </c>
    </row>
    <row r="45" spans="1:3" x14ac:dyDescent="0.45">
      <c r="A45" t="s">
        <v>148</v>
      </c>
      <c r="B45" t="e">
        <f ca="1">BDP(Universe!B45,"GICS_SECTOR_NAME")</f>
        <v>#NAME?</v>
      </c>
      <c r="C45" t="e">
        <f ca="1">BDP(Universe!B45,"CUR_MKT_CAP")</f>
        <v>#NAME?</v>
      </c>
    </row>
    <row r="46" spans="1:3" x14ac:dyDescent="0.45">
      <c r="A46" t="s">
        <v>150</v>
      </c>
      <c r="B46" t="e">
        <f ca="1">BDP(Universe!B46,"GICS_SECTOR_NAME")</f>
        <v>#NAME?</v>
      </c>
      <c r="C46" t="e">
        <f ca="1">BDP(Universe!B46,"CUR_MKT_CAP")</f>
        <v>#NAME?</v>
      </c>
    </row>
    <row r="47" spans="1:3" x14ac:dyDescent="0.45">
      <c r="A47" t="s">
        <v>152</v>
      </c>
      <c r="B47" t="e">
        <f ca="1">BDP(Universe!B47,"GICS_SECTOR_NAME")</f>
        <v>#NAME?</v>
      </c>
      <c r="C47" t="e">
        <f ca="1">BDP(Universe!B47,"CUR_MKT_CAP")</f>
        <v>#NAME?</v>
      </c>
    </row>
    <row r="48" spans="1:3" x14ac:dyDescent="0.45">
      <c r="A48" t="s">
        <v>154</v>
      </c>
      <c r="B48" t="e">
        <f ca="1">BDP(Universe!B48,"GICS_SECTOR_NAME")</f>
        <v>#NAME?</v>
      </c>
      <c r="C48" t="e">
        <f ca="1">BDP(Universe!B48,"CUR_MKT_CAP")</f>
        <v>#NAME?</v>
      </c>
    </row>
    <row r="49" spans="1:3" x14ac:dyDescent="0.45">
      <c r="A49" t="s">
        <v>156</v>
      </c>
      <c r="B49" t="e">
        <f ca="1">BDP(Universe!B49,"GICS_SECTOR_NAME")</f>
        <v>#NAME?</v>
      </c>
      <c r="C49" t="e">
        <f ca="1">BDP(Universe!B49,"CUR_MKT_CAP")</f>
        <v>#NAME?</v>
      </c>
    </row>
    <row r="50" spans="1:3" x14ac:dyDescent="0.45">
      <c r="A50" t="s">
        <v>158</v>
      </c>
      <c r="B50" t="e">
        <f ca="1">BDP(Universe!B50,"GICS_SECTOR_NAME")</f>
        <v>#NAME?</v>
      </c>
      <c r="C50" t="e">
        <f ca="1">BDP(Universe!B50,"CUR_MKT_CAP")</f>
        <v>#NAME?</v>
      </c>
    </row>
    <row r="51" spans="1:3" x14ac:dyDescent="0.45">
      <c r="A51" t="s">
        <v>160</v>
      </c>
      <c r="B51" t="e">
        <f ca="1">BDP(Universe!B51,"GICS_SECTOR_NAME")</f>
        <v>#NAME?</v>
      </c>
      <c r="C51" t="e">
        <f ca="1">BDP(Universe!B51,"CUR_MKT_CAP")</f>
        <v>#NAME?</v>
      </c>
    </row>
    <row r="52" spans="1:3" x14ac:dyDescent="0.45">
      <c r="A52" t="s">
        <v>162</v>
      </c>
      <c r="B52" t="e">
        <f ca="1">BDP(Universe!B52,"GICS_SECTOR_NAME")</f>
        <v>#NAME?</v>
      </c>
      <c r="C52" t="e">
        <f ca="1">BDP(Universe!B52,"CUR_MKT_CAP")</f>
        <v>#NAME?</v>
      </c>
    </row>
    <row r="53" spans="1:3" x14ac:dyDescent="0.45">
      <c r="A53" t="s">
        <v>164</v>
      </c>
      <c r="B53" t="e">
        <f ca="1">BDP(Universe!B53,"GICS_SECTOR_NAME")</f>
        <v>#NAME?</v>
      </c>
      <c r="C53" t="e">
        <f ca="1">BDP(Universe!B53,"CUR_MKT_CAP")</f>
        <v>#NAME?</v>
      </c>
    </row>
    <row r="54" spans="1:3" x14ac:dyDescent="0.45">
      <c r="A54" t="s">
        <v>166</v>
      </c>
      <c r="B54" t="e">
        <f ca="1">BDP(Universe!B54,"GICS_SECTOR_NAME")</f>
        <v>#NAME?</v>
      </c>
      <c r="C54" t="e">
        <f ca="1">BDP(Universe!B54,"CUR_MKT_CAP")</f>
        <v>#NAME?</v>
      </c>
    </row>
    <row r="55" spans="1:3" x14ac:dyDescent="0.45">
      <c r="A55" t="s">
        <v>168</v>
      </c>
      <c r="B55" t="e">
        <f ca="1">BDP(Universe!B55,"GICS_SECTOR_NAME")</f>
        <v>#NAME?</v>
      </c>
      <c r="C55" t="e">
        <f ca="1">BDP(Universe!B55,"CUR_MKT_CAP")</f>
        <v>#NAME?</v>
      </c>
    </row>
    <row r="56" spans="1:3" x14ac:dyDescent="0.45">
      <c r="A56" t="s">
        <v>170</v>
      </c>
      <c r="B56" t="e">
        <f ca="1">BDP(Universe!B56,"GICS_SECTOR_NAME")</f>
        <v>#NAME?</v>
      </c>
      <c r="C56" t="e">
        <f ca="1">BDP(Universe!B56,"CUR_MKT_CAP")</f>
        <v>#NAME?</v>
      </c>
    </row>
    <row r="57" spans="1:3" x14ac:dyDescent="0.45">
      <c r="A57" t="s">
        <v>172</v>
      </c>
      <c r="B57" t="e">
        <f ca="1">BDP(Universe!B57,"GICS_SECTOR_NAME")</f>
        <v>#NAME?</v>
      </c>
      <c r="C57" t="e">
        <f ca="1">BDP(Universe!B57,"CUR_MKT_CAP")</f>
        <v>#NAME?</v>
      </c>
    </row>
    <row r="58" spans="1:3" x14ac:dyDescent="0.45">
      <c r="A58" t="s">
        <v>174</v>
      </c>
      <c r="B58" t="e">
        <f ca="1">BDP(Universe!B58,"GICS_SECTOR_NAME")</f>
        <v>#NAME?</v>
      </c>
      <c r="C58" t="e">
        <f ca="1">BDP(Universe!B58,"CUR_MKT_CAP")</f>
        <v>#NAME?</v>
      </c>
    </row>
    <row r="59" spans="1:3" x14ac:dyDescent="0.45">
      <c r="A59" t="s">
        <v>176</v>
      </c>
      <c r="B59" t="e">
        <f ca="1">BDP(Universe!B59,"GICS_SECTOR_NAME")</f>
        <v>#NAME?</v>
      </c>
      <c r="C59" t="e">
        <f ca="1">BDP(Universe!B59,"CUR_MKT_CAP")</f>
        <v>#NAME?</v>
      </c>
    </row>
    <row r="60" spans="1:3" x14ac:dyDescent="0.45">
      <c r="A60" t="s">
        <v>178</v>
      </c>
      <c r="B60" t="e">
        <f ca="1">BDP(Universe!B60,"GICS_SECTOR_NAME")</f>
        <v>#NAME?</v>
      </c>
      <c r="C60" t="e">
        <f ca="1">BDP(Universe!B60,"CUR_MKT_CAP")</f>
        <v>#NAME?</v>
      </c>
    </row>
    <row r="61" spans="1:3" x14ac:dyDescent="0.45">
      <c r="A61" t="s">
        <v>180</v>
      </c>
      <c r="B61" t="e">
        <f ca="1">BDP(Universe!B61,"GICS_SECTOR_NAME")</f>
        <v>#NAME?</v>
      </c>
      <c r="C61" t="e">
        <f ca="1">BDP(Universe!B61,"CUR_MKT_CAP")</f>
        <v>#NAME?</v>
      </c>
    </row>
    <row r="62" spans="1:3" x14ac:dyDescent="0.45">
      <c r="A62" t="s">
        <v>182</v>
      </c>
      <c r="B62" t="e">
        <f ca="1">BDP(Universe!B62,"GICS_SECTOR_NAME")</f>
        <v>#NAME?</v>
      </c>
      <c r="C62" t="e">
        <f ca="1">BDP(Universe!B62,"CUR_MKT_CAP")</f>
        <v>#NAME?</v>
      </c>
    </row>
    <row r="63" spans="1:3" x14ac:dyDescent="0.45">
      <c r="A63" t="s">
        <v>184</v>
      </c>
      <c r="B63" t="e">
        <f ca="1">BDP(Universe!B63,"GICS_SECTOR_NAME")</f>
        <v>#NAME?</v>
      </c>
      <c r="C63" t="e">
        <f ca="1">BDP(Universe!B63,"CUR_MKT_CAP")</f>
        <v>#NAME?</v>
      </c>
    </row>
    <row r="64" spans="1:3" x14ac:dyDescent="0.45">
      <c r="A64" t="s">
        <v>186</v>
      </c>
      <c r="B64" t="e">
        <f ca="1">BDP(Universe!B64,"GICS_SECTOR_NAME")</f>
        <v>#NAME?</v>
      </c>
      <c r="C64" t="e">
        <f ca="1">BDP(Universe!B64,"CUR_MKT_CAP")</f>
        <v>#NAME?</v>
      </c>
    </row>
    <row r="65" spans="1:3" x14ac:dyDescent="0.45">
      <c r="A65" t="s">
        <v>188</v>
      </c>
      <c r="B65" t="e">
        <f ca="1">BDP(Universe!B65,"GICS_SECTOR_NAME")</f>
        <v>#NAME?</v>
      </c>
      <c r="C65" t="e">
        <f ca="1">BDP(Universe!B65,"CUR_MKT_CAP")</f>
        <v>#NAME?</v>
      </c>
    </row>
    <row r="66" spans="1:3" x14ac:dyDescent="0.45">
      <c r="A66" t="s">
        <v>190</v>
      </c>
      <c r="B66" t="e">
        <f ca="1">BDP(Universe!B66,"GICS_SECTOR_NAME")</f>
        <v>#NAME?</v>
      </c>
      <c r="C66" t="e">
        <f ca="1">BDP(Universe!B66,"CUR_MKT_CAP")</f>
        <v>#NAME?</v>
      </c>
    </row>
    <row r="67" spans="1:3" x14ac:dyDescent="0.45">
      <c r="A67" t="s">
        <v>192</v>
      </c>
      <c r="B67" t="e">
        <f ca="1">BDP(Universe!B67,"GICS_SECTOR_NAME")</f>
        <v>#NAME?</v>
      </c>
      <c r="C67" t="e">
        <f ca="1">BDP(Universe!B67,"CUR_MKT_CAP")</f>
        <v>#NAME?</v>
      </c>
    </row>
    <row r="68" spans="1:3" x14ac:dyDescent="0.45">
      <c r="A68" t="s">
        <v>194</v>
      </c>
      <c r="B68" t="e">
        <f ca="1">BDP(Universe!B68,"GICS_SECTOR_NAME")</f>
        <v>#NAME?</v>
      </c>
      <c r="C68" t="e">
        <f ca="1">BDP(Universe!B68,"CUR_MKT_CAP")</f>
        <v>#NAME?</v>
      </c>
    </row>
    <row r="69" spans="1:3" x14ac:dyDescent="0.45">
      <c r="A69" t="s">
        <v>196</v>
      </c>
      <c r="B69" t="e">
        <f ca="1">BDP(Universe!B69,"GICS_SECTOR_NAME")</f>
        <v>#NAME?</v>
      </c>
      <c r="C69" t="e">
        <f ca="1">BDP(Universe!B69,"CUR_MKT_CAP")</f>
        <v>#NAME?</v>
      </c>
    </row>
    <row r="70" spans="1:3" x14ac:dyDescent="0.45">
      <c r="A70" t="s">
        <v>198</v>
      </c>
      <c r="B70" t="e">
        <f ca="1">BDP(Universe!B70,"GICS_SECTOR_NAME")</f>
        <v>#NAME?</v>
      </c>
      <c r="C70" t="e">
        <f ca="1">BDP(Universe!B70,"CUR_MKT_CAP")</f>
        <v>#NAME?</v>
      </c>
    </row>
    <row r="71" spans="1:3" x14ac:dyDescent="0.45">
      <c r="A71" t="s">
        <v>200</v>
      </c>
      <c r="B71" t="e">
        <f ca="1">BDP(Universe!B71,"GICS_SECTOR_NAME")</f>
        <v>#NAME?</v>
      </c>
      <c r="C71" t="e">
        <f ca="1">BDP(Universe!B71,"CUR_MKT_CAP")</f>
        <v>#NAME?</v>
      </c>
    </row>
    <row r="72" spans="1:3" x14ac:dyDescent="0.45">
      <c r="A72" t="s">
        <v>202</v>
      </c>
      <c r="B72" t="e">
        <f ca="1">BDP(Universe!B72,"GICS_SECTOR_NAME")</f>
        <v>#NAME?</v>
      </c>
      <c r="C72" t="e">
        <f ca="1">BDP(Universe!B72,"CUR_MKT_CAP")</f>
        <v>#NAME?</v>
      </c>
    </row>
    <row r="73" spans="1:3" x14ac:dyDescent="0.45">
      <c r="A73" t="s">
        <v>204</v>
      </c>
      <c r="B73" t="e">
        <f ca="1">BDP(Universe!B73,"GICS_SECTOR_NAME")</f>
        <v>#NAME?</v>
      </c>
      <c r="C73" t="e">
        <f ca="1">BDP(Universe!B73,"CUR_MKT_CAP")</f>
        <v>#NAME?</v>
      </c>
    </row>
    <row r="74" spans="1:3" x14ac:dyDescent="0.45">
      <c r="A74" t="s">
        <v>206</v>
      </c>
      <c r="B74" t="e">
        <f ca="1">BDP(Universe!B74,"GICS_SECTOR_NAME")</f>
        <v>#NAME?</v>
      </c>
      <c r="C74" t="e">
        <f ca="1">BDP(Universe!B74,"CUR_MKT_CAP")</f>
        <v>#NAME?</v>
      </c>
    </row>
    <row r="75" spans="1:3" x14ac:dyDescent="0.45">
      <c r="A75" t="s">
        <v>208</v>
      </c>
      <c r="B75" t="e">
        <f ca="1">BDP(Universe!B75,"GICS_SECTOR_NAME")</f>
        <v>#NAME?</v>
      </c>
      <c r="C75" t="e">
        <f ca="1">BDP(Universe!B75,"CUR_MKT_CAP")</f>
        <v>#NAME?</v>
      </c>
    </row>
    <row r="76" spans="1:3" x14ac:dyDescent="0.45">
      <c r="A76" t="s">
        <v>210</v>
      </c>
      <c r="B76" t="e">
        <f ca="1">BDP(Universe!B76,"GICS_SECTOR_NAME")</f>
        <v>#NAME?</v>
      </c>
      <c r="C76" t="e">
        <f ca="1">BDP(Universe!B76,"CUR_MKT_CAP")</f>
        <v>#NAME?</v>
      </c>
    </row>
    <row r="77" spans="1:3" x14ac:dyDescent="0.45">
      <c r="A77" t="s">
        <v>212</v>
      </c>
      <c r="B77" t="e">
        <f ca="1">BDP(Universe!B77,"GICS_SECTOR_NAME")</f>
        <v>#NAME?</v>
      </c>
      <c r="C77" t="e">
        <f ca="1">BDP(Universe!B77,"CUR_MKT_CAP")</f>
        <v>#NAME?</v>
      </c>
    </row>
    <row r="78" spans="1:3" x14ac:dyDescent="0.45">
      <c r="A78" t="s">
        <v>214</v>
      </c>
      <c r="B78" t="e">
        <f ca="1">BDP(Universe!B78,"GICS_SECTOR_NAME")</f>
        <v>#NAME?</v>
      </c>
      <c r="C78" t="e">
        <f ca="1">BDP(Universe!B78,"CUR_MKT_CAP")</f>
        <v>#NAME?</v>
      </c>
    </row>
    <row r="79" spans="1:3" x14ac:dyDescent="0.45">
      <c r="A79" t="s">
        <v>216</v>
      </c>
      <c r="B79" t="e">
        <f ca="1">BDP(Universe!B79,"GICS_SECTOR_NAME")</f>
        <v>#NAME?</v>
      </c>
      <c r="C79" t="e">
        <f ca="1">BDP(Universe!B79,"CUR_MKT_CAP")</f>
        <v>#NAME?</v>
      </c>
    </row>
    <row r="80" spans="1:3" x14ac:dyDescent="0.45">
      <c r="A80" t="s">
        <v>218</v>
      </c>
      <c r="B80" t="e">
        <f ca="1">BDP(Universe!B80,"GICS_SECTOR_NAME")</f>
        <v>#NAME?</v>
      </c>
      <c r="C80" t="e">
        <f ca="1">BDP(Universe!B80,"CUR_MKT_CAP")</f>
        <v>#NAME?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"/>
  <sheetViews>
    <sheetView tabSelected="1" workbookViewId="0"/>
  </sheetViews>
  <sheetFormatPr defaultRowHeight="14.25" x14ac:dyDescent="0.45"/>
  <cols>
    <col min="1" max="1" width="100" customWidth="1"/>
  </cols>
  <sheetData>
    <row r="1" spans="1:1" x14ac:dyDescent="0.45">
      <c r="A1" s="8" t="s">
        <v>242</v>
      </c>
    </row>
    <row r="2" spans="1:1" x14ac:dyDescent="0.45">
      <c r="A2" t="s">
        <v>243</v>
      </c>
    </row>
    <row r="3" spans="1:1" x14ac:dyDescent="0.45">
      <c r="A3" t="s">
        <v>244</v>
      </c>
    </row>
    <row r="4" spans="1:1" x14ac:dyDescent="0.45">
      <c r="A4" t="s">
        <v>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/>
  </sheetViews>
  <sheetFormatPr defaultRowHeight="14.25" x14ac:dyDescent="0.45"/>
  <cols>
    <col min="1" max="1" width="28" customWidth="1"/>
    <col min="2" max="2" width="14" customWidth="1"/>
    <col min="3" max="3" width="12" customWidth="1"/>
    <col min="4" max="4" width="10" customWidth="1"/>
  </cols>
  <sheetData>
    <row r="1" spans="1:2" ht="15.75" x14ac:dyDescent="0.5">
      <c r="A1" s="1" t="s">
        <v>246</v>
      </c>
    </row>
    <row r="3" spans="1:2" x14ac:dyDescent="0.45">
      <c r="A3" t="s">
        <v>247</v>
      </c>
      <c r="B3" t="s">
        <v>61</v>
      </c>
    </row>
    <row r="4" spans="1:2" x14ac:dyDescent="0.45">
      <c r="A4" t="s">
        <v>55</v>
      </c>
      <c r="B4" t="str">
        <f>IFERROR(INDEX(Universe!B:B,MATCH(B3,Universe!A:A,0)),"")</f>
        <v>D05 SP Equity</v>
      </c>
    </row>
    <row r="5" spans="1:2" x14ac:dyDescent="0.45">
      <c r="A5" t="s">
        <v>248</v>
      </c>
    </row>
    <row r="6" spans="1:2" x14ac:dyDescent="0.45">
      <c r="A6" t="e">
        <f ca="1">BDS(B4,"DVD_HIST_ALL","Headers=Y")</f>
        <v>#NAME?</v>
      </c>
    </row>
    <row r="8" spans="1:2" x14ac:dyDescent="0.45">
      <c r="A8" t="s">
        <v>249</v>
      </c>
    </row>
    <row r="9" spans="1:2" x14ac:dyDescent="0.45">
      <c r="A9" t="s">
        <v>250</v>
      </c>
    </row>
    <row r="10" spans="1:2" x14ac:dyDescent="0.45">
      <c r="A10" t="s">
        <v>251</v>
      </c>
    </row>
    <row r="11" spans="1:2" x14ac:dyDescent="0.45">
      <c r="A11" t="s">
        <v>252</v>
      </c>
    </row>
    <row r="12" spans="1:2" x14ac:dyDescent="0.45">
      <c r="A12" t="s">
        <v>253</v>
      </c>
    </row>
    <row r="13" spans="1:2" x14ac:dyDescent="0.45">
      <c r="A13" t="s">
        <v>254</v>
      </c>
    </row>
    <row r="15" spans="1:2" x14ac:dyDescent="0.45">
      <c r="A15" t="s">
        <v>255</v>
      </c>
    </row>
    <row r="17" spans="1:4" x14ac:dyDescent="0.45">
      <c r="A17" t="s">
        <v>256</v>
      </c>
      <c r="B17" s="10" t="s">
        <v>223</v>
      </c>
      <c r="C17" s="10" t="s">
        <v>239</v>
      </c>
      <c r="D17" s="10" t="s">
        <v>257</v>
      </c>
    </row>
    <row r="18" spans="1:4" x14ac:dyDescent="0.45">
      <c r="A18" t="s">
        <v>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0"/>
  <sheetViews>
    <sheetView workbookViewId="0"/>
  </sheetViews>
  <sheetFormatPr defaultRowHeight="14.25" x14ac:dyDescent="0.45"/>
  <cols>
    <col min="1" max="1" width="12" customWidth="1"/>
    <col min="2" max="2" width="16" customWidth="1"/>
    <col min="3" max="3" width="10" customWidth="1"/>
  </cols>
  <sheetData>
    <row r="1" spans="1:3" x14ac:dyDescent="0.45">
      <c r="A1" s="10" t="s">
        <v>54</v>
      </c>
      <c r="B1" s="10" t="s">
        <v>55</v>
      </c>
      <c r="C1" s="10" t="s">
        <v>259</v>
      </c>
    </row>
    <row r="2" spans="1:3" x14ac:dyDescent="0.45">
      <c r="A2" t="s">
        <v>61</v>
      </c>
      <c r="B2" t="s">
        <v>62</v>
      </c>
    </row>
    <row r="3" spans="1:3" x14ac:dyDescent="0.45">
      <c r="A3" t="s">
        <v>64</v>
      </c>
      <c r="B3" t="s">
        <v>65</v>
      </c>
    </row>
    <row r="4" spans="1:3" x14ac:dyDescent="0.45">
      <c r="A4" t="s">
        <v>66</v>
      </c>
      <c r="B4" t="s">
        <v>67</v>
      </c>
    </row>
    <row r="5" spans="1:3" x14ac:dyDescent="0.45">
      <c r="A5" t="s">
        <v>68</v>
      </c>
      <c r="B5" t="s">
        <v>69</v>
      </c>
    </row>
    <row r="6" spans="1:3" x14ac:dyDescent="0.45">
      <c r="A6" t="s">
        <v>70</v>
      </c>
      <c r="B6" t="s">
        <v>71</v>
      </c>
    </row>
    <row r="7" spans="1:3" x14ac:dyDescent="0.45">
      <c r="A7" t="s">
        <v>72</v>
      </c>
      <c r="B7" t="s">
        <v>73</v>
      </c>
    </row>
    <row r="8" spans="1:3" x14ac:dyDescent="0.45">
      <c r="A8" t="s">
        <v>74</v>
      </c>
      <c r="B8" t="s">
        <v>75</v>
      </c>
    </row>
    <row r="9" spans="1:3" x14ac:dyDescent="0.45">
      <c r="A9" t="s">
        <v>76</v>
      </c>
      <c r="B9" t="s">
        <v>77</v>
      </c>
    </row>
    <row r="10" spans="1:3" x14ac:dyDescent="0.45">
      <c r="A10" t="s">
        <v>78</v>
      </c>
      <c r="B10" t="s">
        <v>79</v>
      </c>
    </row>
    <row r="11" spans="1:3" x14ac:dyDescent="0.45">
      <c r="A11" t="s">
        <v>80</v>
      </c>
      <c r="B11" t="s">
        <v>81</v>
      </c>
    </row>
    <row r="12" spans="1:3" x14ac:dyDescent="0.45">
      <c r="A12" t="s">
        <v>82</v>
      </c>
      <c r="B12" t="s">
        <v>83</v>
      </c>
    </row>
    <row r="13" spans="1:3" x14ac:dyDescent="0.45">
      <c r="A13" t="s">
        <v>84</v>
      </c>
      <c r="B13" t="s">
        <v>85</v>
      </c>
    </row>
    <row r="14" spans="1:3" x14ac:dyDescent="0.45">
      <c r="A14" t="s">
        <v>86</v>
      </c>
      <c r="B14" t="s">
        <v>87</v>
      </c>
    </row>
    <row r="15" spans="1:3" x14ac:dyDescent="0.45">
      <c r="A15" t="s">
        <v>88</v>
      </c>
      <c r="B15" t="s">
        <v>89</v>
      </c>
    </row>
    <row r="16" spans="1:3" x14ac:dyDescent="0.45">
      <c r="A16" t="s">
        <v>90</v>
      </c>
      <c r="B16" t="s">
        <v>91</v>
      </c>
    </row>
    <row r="17" spans="1:2" x14ac:dyDescent="0.45">
      <c r="A17" t="s">
        <v>92</v>
      </c>
      <c r="B17" t="s">
        <v>93</v>
      </c>
    </row>
    <row r="18" spans="1:2" x14ac:dyDescent="0.45">
      <c r="A18" t="s">
        <v>94</v>
      </c>
      <c r="B18" t="s">
        <v>95</v>
      </c>
    </row>
    <row r="19" spans="1:2" x14ac:dyDescent="0.45">
      <c r="A19" t="s">
        <v>96</v>
      </c>
      <c r="B19" t="s">
        <v>97</v>
      </c>
    </row>
    <row r="20" spans="1:2" x14ac:dyDescent="0.45">
      <c r="A20" t="s">
        <v>98</v>
      </c>
      <c r="B20" t="s">
        <v>99</v>
      </c>
    </row>
    <row r="21" spans="1:2" x14ac:dyDescent="0.45">
      <c r="A21" t="s">
        <v>100</v>
      </c>
      <c r="B21" t="s">
        <v>101</v>
      </c>
    </row>
    <row r="22" spans="1:2" x14ac:dyDescent="0.45">
      <c r="A22" t="s">
        <v>102</v>
      </c>
      <c r="B22" t="s">
        <v>103</v>
      </c>
    </row>
    <row r="23" spans="1:2" x14ac:dyDescent="0.45">
      <c r="A23" t="s">
        <v>104</v>
      </c>
      <c r="B23" t="s">
        <v>105</v>
      </c>
    </row>
    <row r="24" spans="1:2" x14ac:dyDescent="0.45">
      <c r="A24" t="s">
        <v>106</v>
      </c>
      <c r="B24" t="s">
        <v>107</v>
      </c>
    </row>
    <row r="25" spans="1:2" x14ac:dyDescent="0.45">
      <c r="A25" t="s">
        <v>108</v>
      </c>
      <c r="B25" t="s">
        <v>109</v>
      </c>
    </row>
    <row r="26" spans="1:2" x14ac:dyDescent="0.45">
      <c r="A26" t="s">
        <v>110</v>
      </c>
      <c r="B26" t="s">
        <v>111</v>
      </c>
    </row>
    <row r="27" spans="1:2" x14ac:dyDescent="0.45">
      <c r="A27" t="s">
        <v>112</v>
      </c>
      <c r="B27" t="s">
        <v>113</v>
      </c>
    </row>
    <row r="28" spans="1:2" x14ac:dyDescent="0.45">
      <c r="A28" t="s">
        <v>114</v>
      </c>
      <c r="B28" t="s">
        <v>115</v>
      </c>
    </row>
    <row r="29" spans="1:2" x14ac:dyDescent="0.45">
      <c r="A29" t="s">
        <v>116</v>
      </c>
      <c r="B29" t="s">
        <v>117</v>
      </c>
    </row>
    <row r="30" spans="1:2" x14ac:dyDescent="0.45">
      <c r="A30" t="s">
        <v>118</v>
      </c>
      <c r="B30" t="s">
        <v>119</v>
      </c>
    </row>
    <row r="31" spans="1:2" x14ac:dyDescent="0.45">
      <c r="A31" t="s">
        <v>120</v>
      </c>
      <c r="B31" t="s">
        <v>121</v>
      </c>
    </row>
    <row r="32" spans="1:2" x14ac:dyDescent="0.45">
      <c r="A32" t="s">
        <v>122</v>
      </c>
      <c r="B32" t="s">
        <v>123</v>
      </c>
    </row>
    <row r="33" spans="1:2" x14ac:dyDescent="0.45">
      <c r="A33" t="s">
        <v>124</v>
      </c>
      <c r="B33" t="s">
        <v>125</v>
      </c>
    </row>
    <row r="34" spans="1:2" x14ac:dyDescent="0.45">
      <c r="A34" t="s">
        <v>126</v>
      </c>
      <c r="B34" t="s">
        <v>127</v>
      </c>
    </row>
    <row r="35" spans="1:2" x14ac:dyDescent="0.45">
      <c r="A35" t="s">
        <v>128</v>
      </c>
      <c r="B35" t="s">
        <v>129</v>
      </c>
    </row>
    <row r="36" spans="1:2" x14ac:dyDescent="0.45">
      <c r="A36" t="s">
        <v>130</v>
      </c>
      <c r="B36" t="s">
        <v>131</v>
      </c>
    </row>
    <row r="37" spans="1:2" x14ac:dyDescent="0.45">
      <c r="A37" t="s">
        <v>132</v>
      </c>
      <c r="B37" t="s">
        <v>133</v>
      </c>
    </row>
    <row r="38" spans="1:2" x14ac:dyDescent="0.45">
      <c r="A38" t="s">
        <v>134</v>
      </c>
      <c r="B38" t="s">
        <v>135</v>
      </c>
    </row>
    <row r="39" spans="1:2" x14ac:dyDescent="0.45">
      <c r="A39" t="s">
        <v>136</v>
      </c>
      <c r="B39" t="s">
        <v>137</v>
      </c>
    </row>
    <row r="40" spans="1:2" x14ac:dyDescent="0.45">
      <c r="A40" t="s">
        <v>138</v>
      </c>
      <c r="B40" t="s">
        <v>139</v>
      </c>
    </row>
    <row r="41" spans="1:2" x14ac:dyDescent="0.45">
      <c r="A41" t="s">
        <v>140</v>
      </c>
      <c r="B41" t="s">
        <v>141</v>
      </c>
    </row>
    <row r="42" spans="1:2" x14ac:dyDescent="0.45">
      <c r="A42" t="s">
        <v>142</v>
      </c>
      <c r="B42" t="s">
        <v>143</v>
      </c>
    </row>
    <row r="43" spans="1:2" x14ac:dyDescent="0.45">
      <c r="A43" t="s">
        <v>144</v>
      </c>
      <c r="B43" t="s">
        <v>145</v>
      </c>
    </row>
    <row r="44" spans="1:2" x14ac:dyDescent="0.45">
      <c r="A44" t="s">
        <v>146</v>
      </c>
      <c r="B44" t="s">
        <v>147</v>
      </c>
    </row>
    <row r="45" spans="1:2" x14ac:dyDescent="0.45">
      <c r="A45" t="s">
        <v>148</v>
      </c>
      <c r="B45" t="s">
        <v>149</v>
      </c>
    </row>
    <row r="46" spans="1:2" x14ac:dyDescent="0.45">
      <c r="A46" t="s">
        <v>150</v>
      </c>
      <c r="B46" t="s">
        <v>151</v>
      </c>
    </row>
    <row r="47" spans="1:2" x14ac:dyDescent="0.45">
      <c r="A47" t="s">
        <v>152</v>
      </c>
      <c r="B47" t="s">
        <v>153</v>
      </c>
    </row>
    <row r="48" spans="1:2" x14ac:dyDescent="0.45">
      <c r="A48" t="s">
        <v>154</v>
      </c>
      <c r="B48" t="s">
        <v>155</v>
      </c>
    </row>
    <row r="49" spans="1:2" x14ac:dyDescent="0.45">
      <c r="A49" t="s">
        <v>156</v>
      </c>
      <c r="B49" t="s">
        <v>157</v>
      </c>
    </row>
    <row r="50" spans="1:2" x14ac:dyDescent="0.45">
      <c r="A50" t="s">
        <v>158</v>
      </c>
      <c r="B50" t="s">
        <v>159</v>
      </c>
    </row>
    <row r="51" spans="1:2" x14ac:dyDescent="0.45">
      <c r="A51" t="s">
        <v>160</v>
      </c>
      <c r="B51" t="s">
        <v>161</v>
      </c>
    </row>
    <row r="52" spans="1:2" x14ac:dyDescent="0.45">
      <c r="A52" t="s">
        <v>162</v>
      </c>
      <c r="B52" t="s">
        <v>163</v>
      </c>
    </row>
    <row r="53" spans="1:2" x14ac:dyDescent="0.45">
      <c r="A53" t="s">
        <v>164</v>
      </c>
      <c r="B53" t="s">
        <v>165</v>
      </c>
    </row>
    <row r="54" spans="1:2" x14ac:dyDescent="0.45">
      <c r="A54" t="s">
        <v>166</v>
      </c>
      <c r="B54" t="s">
        <v>167</v>
      </c>
    </row>
    <row r="55" spans="1:2" x14ac:dyDescent="0.45">
      <c r="A55" t="s">
        <v>168</v>
      </c>
      <c r="B55" t="s">
        <v>169</v>
      </c>
    </row>
    <row r="56" spans="1:2" x14ac:dyDescent="0.45">
      <c r="A56" t="s">
        <v>170</v>
      </c>
      <c r="B56" t="s">
        <v>171</v>
      </c>
    </row>
    <row r="57" spans="1:2" x14ac:dyDescent="0.45">
      <c r="A57" t="s">
        <v>172</v>
      </c>
      <c r="B57" t="s">
        <v>173</v>
      </c>
    </row>
    <row r="58" spans="1:2" x14ac:dyDescent="0.45">
      <c r="A58" t="s">
        <v>174</v>
      </c>
      <c r="B58" t="s">
        <v>175</v>
      </c>
    </row>
    <row r="59" spans="1:2" x14ac:dyDescent="0.45">
      <c r="A59" t="s">
        <v>176</v>
      </c>
      <c r="B59" t="s">
        <v>177</v>
      </c>
    </row>
    <row r="60" spans="1:2" x14ac:dyDescent="0.45">
      <c r="A60" t="s">
        <v>178</v>
      </c>
      <c r="B60" t="s">
        <v>179</v>
      </c>
    </row>
    <row r="61" spans="1:2" x14ac:dyDescent="0.45">
      <c r="A61" t="s">
        <v>180</v>
      </c>
      <c r="B61" t="s">
        <v>181</v>
      </c>
    </row>
    <row r="62" spans="1:2" x14ac:dyDescent="0.45">
      <c r="A62" t="s">
        <v>182</v>
      </c>
      <c r="B62" t="s">
        <v>183</v>
      </c>
    </row>
    <row r="63" spans="1:2" x14ac:dyDescent="0.45">
      <c r="A63" t="s">
        <v>184</v>
      </c>
      <c r="B63" t="s">
        <v>185</v>
      </c>
    </row>
    <row r="64" spans="1:2" x14ac:dyDescent="0.45">
      <c r="A64" t="s">
        <v>186</v>
      </c>
      <c r="B64" t="s">
        <v>187</v>
      </c>
    </row>
    <row r="65" spans="1:2" x14ac:dyDescent="0.45">
      <c r="A65" t="s">
        <v>188</v>
      </c>
      <c r="B65" t="s">
        <v>189</v>
      </c>
    </row>
    <row r="66" spans="1:2" x14ac:dyDescent="0.45">
      <c r="A66" t="s">
        <v>190</v>
      </c>
      <c r="B66" t="s">
        <v>191</v>
      </c>
    </row>
    <row r="67" spans="1:2" x14ac:dyDescent="0.45">
      <c r="A67" t="s">
        <v>192</v>
      </c>
      <c r="B67" t="s">
        <v>193</v>
      </c>
    </row>
    <row r="68" spans="1:2" x14ac:dyDescent="0.45">
      <c r="A68" t="s">
        <v>194</v>
      </c>
      <c r="B68" t="s">
        <v>195</v>
      </c>
    </row>
    <row r="69" spans="1:2" x14ac:dyDescent="0.45">
      <c r="A69" t="s">
        <v>196</v>
      </c>
      <c r="B69" t="s">
        <v>197</v>
      </c>
    </row>
    <row r="70" spans="1:2" x14ac:dyDescent="0.45">
      <c r="A70" t="s">
        <v>198</v>
      </c>
      <c r="B70" t="s">
        <v>199</v>
      </c>
    </row>
    <row r="71" spans="1:2" x14ac:dyDescent="0.45">
      <c r="A71" t="s">
        <v>200</v>
      </c>
      <c r="B71" t="s">
        <v>201</v>
      </c>
    </row>
    <row r="72" spans="1:2" x14ac:dyDescent="0.45">
      <c r="A72" t="s">
        <v>202</v>
      </c>
      <c r="B72" t="s">
        <v>203</v>
      </c>
    </row>
    <row r="73" spans="1:2" x14ac:dyDescent="0.45">
      <c r="A73" t="s">
        <v>204</v>
      </c>
      <c r="B73" t="s">
        <v>205</v>
      </c>
    </row>
    <row r="74" spans="1:2" x14ac:dyDescent="0.45">
      <c r="A74" t="s">
        <v>206</v>
      </c>
      <c r="B74" t="s">
        <v>207</v>
      </c>
    </row>
    <row r="75" spans="1:2" x14ac:dyDescent="0.45">
      <c r="A75" t="s">
        <v>208</v>
      </c>
      <c r="B75" t="s">
        <v>209</v>
      </c>
    </row>
    <row r="76" spans="1:2" x14ac:dyDescent="0.45">
      <c r="A76" t="s">
        <v>210</v>
      </c>
      <c r="B76" t="s">
        <v>211</v>
      </c>
    </row>
    <row r="77" spans="1:2" x14ac:dyDescent="0.45">
      <c r="A77" t="s">
        <v>212</v>
      </c>
      <c r="B77" t="s">
        <v>213</v>
      </c>
    </row>
    <row r="78" spans="1:2" x14ac:dyDescent="0.45">
      <c r="A78" t="s">
        <v>214</v>
      </c>
      <c r="B78" t="s">
        <v>215</v>
      </c>
    </row>
    <row r="79" spans="1:2" x14ac:dyDescent="0.45">
      <c r="A79" t="s">
        <v>216</v>
      </c>
      <c r="B79" t="s">
        <v>217</v>
      </c>
    </row>
    <row r="80" spans="1:2" x14ac:dyDescent="0.45">
      <c r="A80" t="s">
        <v>218</v>
      </c>
      <c r="B80" t="s">
        <v>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5"/>
  <sheetViews>
    <sheetView workbookViewId="0"/>
  </sheetViews>
  <sheetFormatPr defaultRowHeight="14.25" x14ac:dyDescent="0.45"/>
  <cols>
    <col min="1" max="1" width="100" customWidth="1"/>
  </cols>
  <sheetData>
    <row r="1" spans="1:1" ht="15.75" x14ac:dyDescent="0.5">
      <c r="A1" s="1" t="s">
        <v>260</v>
      </c>
    </row>
    <row r="3" spans="1:1" x14ac:dyDescent="0.45">
      <c r="A3" t="s">
        <v>261</v>
      </c>
    </row>
    <row r="5" spans="1:1" x14ac:dyDescent="0.45">
      <c r="A5" t="s">
        <v>262</v>
      </c>
    </row>
    <row r="6" spans="1:1" x14ac:dyDescent="0.45">
      <c r="A6" t="s">
        <v>263</v>
      </c>
    </row>
    <row r="7" spans="1:1" x14ac:dyDescent="0.45">
      <c r="A7" t="s">
        <v>264</v>
      </c>
    </row>
    <row r="8" spans="1:1" x14ac:dyDescent="0.45">
      <c r="A8" t="s">
        <v>265</v>
      </c>
    </row>
    <row r="9" spans="1:1" x14ac:dyDescent="0.45">
      <c r="A9" t="s">
        <v>266</v>
      </c>
    </row>
    <row r="10" spans="1:1" x14ac:dyDescent="0.45">
      <c r="A10" t="s">
        <v>267</v>
      </c>
    </row>
    <row r="11" spans="1:1" x14ac:dyDescent="0.45">
      <c r="A11" t="s">
        <v>268</v>
      </c>
    </row>
    <row r="12" spans="1:1" x14ac:dyDescent="0.45">
      <c r="A12" t="s">
        <v>269</v>
      </c>
    </row>
    <row r="13" spans="1:1" x14ac:dyDescent="0.45">
      <c r="A13" t="s">
        <v>270</v>
      </c>
    </row>
    <row r="14" spans="1:1" x14ac:dyDescent="0.45">
      <c r="A14" t="s">
        <v>271</v>
      </c>
    </row>
    <row r="16" spans="1:1" x14ac:dyDescent="0.45">
      <c r="A16" t="s">
        <v>272</v>
      </c>
    </row>
    <row r="17" spans="1:1" x14ac:dyDescent="0.45">
      <c r="A17" t="s">
        <v>273</v>
      </c>
    </row>
    <row r="18" spans="1:1" x14ac:dyDescent="0.45">
      <c r="A18" t="s">
        <v>274</v>
      </c>
    </row>
    <row r="19" spans="1:1" x14ac:dyDescent="0.45">
      <c r="A19" t="s">
        <v>275</v>
      </c>
    </row>
    <row r="20" spans="1:1" x14ac:dyDescent="0.45">
      <c r="A20" t="s">
        <v>276</v>
      </c>
    </row>
    <row r="22" spans="1:1" x14ac:dyDescent="0.45">
      <c r="A22" t="s">
        <v>277</v>
      </c>
    </row>
    <row r="23" spans="1:1" x14ac:dyDescent="0.45">
      <c r="A23" t="s">
        <v>278</v>
      </c>
    </row>
    <row r="24" spans="1:1" x14ac:dyDescent="0.45">
      <c r="A24" t="s">
        <v>279</v>
      </c>
    </row>
    <row r="25" spans="1:1" x14ac:dyDescent="0.45">
      <c r="A25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Control</vt:lpstr>
      <vt:lpstr>Universe</vt:lpstr>
      <vt:lpstr>Prices</vt:lpstr>
      <vt:lpstr>Prices_Notes</vt:lpstr>
      <vt:lpstr>Book</vt:lpstr>
      <vt:lpstr>Book_Notes</vt:lpstr>
      <vt:lpstr>Categories</vt:lpstr>
      <vt:lpstr>Categories_Notes</vt:lpstr>
      <vt:lpstr>Dividends</vt:lpstr>
      <vt:lpstr>Dividend_Tickers</vt:lpstr>
      <vt:lpstr>Export_Checklist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 Jia Wen</cp:lastModifiedBy>
  <dcterms:created xsi:type="dcterms:W3CDTF">2026-09-05T03:41:35Z</dcterms:created>
  <dcterms:modified xsi:type="dcterms:W3CDTF">2026-09-05T05:33:23Z</dcterms:modified>
</cp:coreProperties>
</file>