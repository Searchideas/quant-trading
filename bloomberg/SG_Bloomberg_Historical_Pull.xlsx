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trol" sheetId="2" state="visible" r:id="rId2"/>
    <sheet xmlns:r="http://schemas.openxmlformats.org/officeDocument/2006/relationships" name="Universe" sheetId="3" state="visible" r:id="rId3"/>
    <sheet xmlns:r="http://schemas.openxmlformats.org/officeDocument/2006/relationships" name="Prices" sheetId="4" state="visible" r:id="rId4"/>
    <sheet xmlns:r="http://schemas.openxmlformats.org/officeDocument/2006/relationships" name="Prices_Index" sheetId="5" state="visible" r:id="rId5"/>
    <sheet xmlns:r="http://schemas.openxmlformats.org/officeDocument/2006/relationships" name="Prices_Notes" sheetId="6" state="visible" r:id="rId6"/>
    <sheet xmlns:r="http://schemas.openxmlformats.org/officeDocument/2006/relationships" name="Book" sheetId="7" state="visible" r:id="rId7"/>
    <sheet xmlns:r="http://schemas.openxmlformats.org/officeDocument/2006/relationships" name="Book_Index" sheetId="8" state="visible" r:id="rId8"/>
    <sheet xmlns:r="http://schemas.openxmlformats.org/officeDocument/2006/relationships" name="Book_Notes" sheetId="9" state="visible" r:id="rId9"/>
    <sheet xmlns:r="http://schemas.openxmlformats.org/officeDocument/2006/relationships" name="Categories" sheetId="10" state="visible" r:id="rId10"/>
    <sheet xmlns:r="http://schemas.openxmlformats.org/officeDocument/2006/relationships" name="Categories_Notes" sheetId="11" state="visible" r:id="rId11"/>
    <sheet xmlns:r="http://schemas.openxmlformats.org/officeDocument/2006/relationships" name="Dividends" sheetId="12" state="visible" r:id="rId12"/>
    <sheet xmlns:r="http://schemas.openxmlformats.org/officeDocument/2006/relationships" name="Dividends_Index" sheetId="13" state="visible" r:id="rId13"/>
    <sheet xmlns:r="http://schemas.openxmlformats.org/officeDocument/2006/relationships" name="Dividends_Notes" sheetId="14" state="visible" r:id="rId14"/>
    <sheet xmlns:r="http://schemas.openxmlformats.org/officeDocument/2006/relationships" name="Dividends_Detail" sheetId="15" state="visible" r:id="rId15"/>
    <sheet xmlns:r="http://schemas.openxmlformats.org/officeDocument/2006/relationships" name="FAQ" sheetId="16" state="visible" r:id="rId16"/>
    <sheet xmlns:r="http://schemas.openxmlformats.org/officeDocument/2006/relationships" name="Export_Checklis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  <sz val="11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D7377"/>
      </patternFill>
    </fill>
    <fill>
      <patternFill patternType="solid">
        <fgColor rgb="006B3FA0"/>
      </patternFill>
    </fill>
    <fill>
      <patternFill patternType="solid">
        <fgColor rgb="00C45C26"/>
      </patternFill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wrapText="1"/>
    </xf>
    <xf numFmtId="0" fontId="4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center" wrapText="1"/>
    </xf>
    <xf numFmtId="0" fontId="5" fillId="0" borderId="0" pivotButton="0" quotePrefix="0" xfId="0"/>
    <xf numFmtId="0" fontId="4" fillId="5" borderId="0" applyAlignment="1" pivotButton="0" quotePrefix="0" xfId="0">
      <alignment horizontal="center" wrapText="1"/>
    </xf>
    <xf numFmtId="0" fontId="4" fillId="6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SG Bloomberg Historical Pull — Quant Trading</t>
        </is>
      </c>
    </row>
    <row r="2">
      <c r="A2" s="2" t="inlineStr"/>
    </row>
    <row r="3">
      <c r="A3" s="3" t="inlineStr">
        <is>
          <t>Purpose</t>
        </is>
      </c>
    </row>
    <row r="4">
      <c r="A4" s="2" t="inlineStr">
        <is>
          <t>Pull SGX history from Bloomberg into the 4 CSV layouts this project needs under data/sg/raw/, then run: python main.py --market sg --skip-download</t>
        </is>
      </c>
    </row>
    <row r="5">
      <c r="A5" s="2" t="inlineStr"/>
    </row>
    <row r="6">
      <c r="A6" s="3" t="inlineStr">
        <is>
          <t>Sheets</t>
        </is>
      </c>
    </row>
    <row r="7">
      <c r="A7" s="2" t="inlineStr">
        <is>
          <t>1. Control — start/end dates and pull settings (edit these first)</t>
        </is>
      </c>
    </row>
    <row r="8">
      <c r="A8" s="2" t="inlineStr">
        <is>
          <t>2. Universe — Yahoo .SI tickers ↔ Bloomberg SP Equity codes</t>
        </is>
      </c>
    </row>
    <row r="9">
      <c r="A9" s="2" t="inlineStr">
        <is>
          <t>3. Prices — each ticker Date|Value BDH block (→ price_data.csv)</t>
        </is>
      </c>
    </row>
    <row r="10">
      <c r="A10" s="2" t="inlineStr">
        <is>
          <t>4. Book — each ticker Date|Value BDH Per=M (→ book_data.csv)</t>
        </is>
      </c>
    </row>
    <row r="11">
      <c r="A11" s="2" t="inlineStr">
        <is>
          <t>5. Categories — sector + market cap BDP (→ categorizations_data.csv)</t>
        </is>
      </c>
    </row>
    <row r="12">
      <c r="A12" s="2" t="inlineStr">
        <is>
          <t>6. Dividends — BDS DVD_HIST_ALL for EVERY ticker (side-by-side blocks)</t>
        </is>
      </c>
    </row>
    <row r="13">
      <c r="A13" s="2" t="inlineStr">
        <is>
          <t>7. Dividends_Detail — one-ticker DVD_HIST + Regular vs Special sums</t>
        </is>
      </c>
    </row>
    <row r="14">
      <c r="A14" s="2" t="inlineStr">
        <is>
          <t>8. FAQ — BQ error / Special dividends / why DBS</t>
        </is>
      </c>
    </row>
    <row r="15">
      <c r="A15" s="2" t="inlineStr">
        <is>
          <t>9. Export_Checklist — save-as-CSV steps</t>
        </is>
      </c>
    </row>
    <row r="16">
      <c r="A16" s="2" t="inlineStr"/>
    </row>
    <row r="17">
      <c r="A17" s="3" t="inlineStr">
        <is>
          <t>How to refresh (Bloomberg Terminal PC)</t>
        </is>
      </c>
    </row>
    <row r="18">
      <c r="A18" s="2" t="inlineStr">
        <is>
          <t>1. Open this file in Excel with Bloomberg Add-in logged in</t>
        </is>
      </c>
    </row>
    <row r="19">
      <c r="A19" s="2" t="inlineStr">
        <is>
          <t>2. Edit Control!B2 (Start) and Control!B3 (End)</t>
        </is>
      </c>
    </row>
    <row r="20">
      <c r="A20" s="2" t="inlineStr">
        <is>
          <t>3. Press Bloomberg → Refresh Workbook (or wait for auto-refresh)</t>
        </is>
      </c>
    </row>
    <row r="21">
      <c r="A21" s="2" t="inlineStr">
        <is>
          <t>4. Follow Export_Checklist, then run bloomberg/bbg_to_csv.py</t>
        </is>
      </c>
    </row>
    <row r="22">
      <c r="A22" s="2" t="inlineStr"/>
    </row>
    <row r="23">
      <c r="A23" s="3" t="inlineStr">
        <is>
          <t>Field mapping</t>
        </is>
      </c>
    </row>
    <row r="24">
      <c r="A24" s="2" t="inlineStr">
        <is>
          <t>Prices: PX_LAST with CshAdjNormal=Y, CshAdjAbnormal=Y, CapChg=Y (≈ Yahoo auto_adjust)</t>
        </is>
      </c>
    </row>
    <row r="25">
      <c r="A25" s="2" t="inlineStr">
        <is>
          <t>Book: BOOK_VAL_PER_SH with Per=M (monthly; NOT BQ)</t>
        </is>
      </c>
    </row>
    <row r="26">
      <c r="A26" s="2" t="inlineStr">
        <is>
          <t>Categories: GICS_SECTOR_NAME + CUR_MKT_CAP</t>
        </is>
      </c>
    </row>
    <row r="27">
      <c r="A27" s="2" t="inlineStr">
        <is>
          <t>Dividends: BDS DVD_HIST_ALL (Bloomberg dividend history) for all tickers</t>
        </is>
      </c>
    </row>
    <row r="28">
      <c r="A28" s="2" t="inlineStr"/>
    </row>
    <row r="29">
      <c r="A29" s="3" t="inlineStr">
        <is>
          <t>Notes</t>
        </is>
      </c>
    </row>
    <row r="30">
      <c r="A30" s="2" t="inlineStr">
        <is>
          <t>Column headers stay as Yahoo .SI names so CSVs drop straight into the pipeline.</t>
        </is>
      </c>
    </row>
    <row r="31">
      <c r="A31" s="2" t="inlineStr">
        <is>
          <t>Benchmark ES3.SI is on Universe for reference; strategy downloads it separately.</t>
        </is>
      </c>
    </row>
    <row r="32">
      <c r="A32" s="2" t="inlineStr">
        <is>
          <t>TA-Lib / OHLCV not required — this project uses adjusted close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7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t="inlineStr">
        <is>
          <t>StartDate</t>
        </is>
      </c>
      <c r="B2">
        <f>EDATE(TODAY(),-60)</f>
        <v/>
      </c>
      <c r="C2" t="inlineStr">
        <is>
          <t>Rolling 5 years (60 months). Hardcode e.g. 2021-09-01 to match config if preferred.</t>
        </is>
      </c>
    </row>
    <row r="3">
      <c r="A3" t="inlineStr">
        <is>
          <t>EndDate</t>
        </is>
      </c>
      <c r="B3">
        <f>TODAY()-1</f>
        <v/>
      </c>
      <c r="C3" t="inlineStr">
        <is>
          <t>Leave as TODAY()-1 or hardcode e.g. 2026-09-04</t>
        </is>
      </c>
    </row>
    <row r="4">
      <c r="A4" t="inlineStr">
        <is>
          <t>PriceField</t>
        </is>
      </c>
      <c r="B4" t="inlineStr">
        <is>
          <t>PX_LAST</t>
        </is>
      </c>
      <c r="C4" t="inlineStr">
        <is>
          <t>Adjusted via BDH overrides on Prices sheet</t>
        </is>
      </c>
    </row>
    <row r="5">
      <c r="A5" t="inlineStr">
        <is>
          <t>BookField</t>
        </is>
      </c>
      <c r="B5" t="inlineStr">
        <is>
          <t>BOOK_VAL_PER_SH</t>
        </is>
      </c>
      <c r="C5" t="inlineStr">
        <is>
          <t>Book value per share (BDH)</t>
        </is>
      </c>
    </row>
    <row r="6">
      <c r="A6" t="inlineStr">
        <is>
          <t>BookPeriod</t>
        </is>
      </c>
      <c r="B6" t="inlineStr">
        <is>
          <t>M</t>
        </is>
      </c>
      <c r="C6" t="inlineStr">
        <is>
          <t>Monthly BDH periodicity for book value (was Q)</t>
        </is>
      </c>
    </row>
    <row r="7">
      <c r="A7" t="inlineStr">
        <is>
          <t>PricePeriod</t>
        </is>
      </c>
      <c r="B7" t="inlineStr">
        <is>
          <t>D</t>
        </is>
      </c>
      <c r="C7" t="inlineStr">
        <is>
          <t>Daily</t>
        </is>
      </c>
    </row>
    <row r="8">
      <c r="A8" t="inlineStr">
        <is>
          <t>DivField</t>
        </is>
      </c>
      <c r="B8" t="inlineStr">
        <is>
          <t>DVD_HIST_ALL</t>
        </is>
      </c>
      <c r="C8" t="inlineStr">
        <is>
          <t>Bloomberg dividend history via BDS (not BDH)</t>
        </is>
      </c>
    </row>
    <row r="9">
      <c r="A9" t="inlineStr">
        <is>
          <t>Currency</t>
        </is>
      </c>
      <c r="B9" t="inlineStr">
        <is>
          <t>SGD</t>
        </is>
      </c>
      <c r="C9" t="inlineStr">
        <is>
          <t>Informational</t>
        </is>
      </c>
    </row>
    <row r="10">
      <c r="A10" t="inlineStr">
        <is>
          <t>Exchange</t>
        </is>
      </c>
      <c r="B10" t="inlineStr">
        <is>
          <t>SP / SGX</t>
        </is>
      </c>
      <c r="C10" t="inlineStr">
        <is>
          <t>Bloomberg yellow-key Equity, SGX</t>
        </is>
      </c>
    </row>
    <row r="11">
      <c r="A11" t="inlineStr">
        <is>
          <t>OutputFolder</t>
        </is>
      </c>
      <c r="B11" t="inlineStr">
        <is>
          <t>C:\Users\taiji\Desktop\Python Project\Quant Learning Journey\quant-trading\data\sg\raw</t>
        </is>
      </c>
      <c r="C11" t="inlineStr">
        <is>
          <t>Where CSVs should land</t>
        </is>
      </c>
    </row>
    <row r="12">
      <c r="A12" t="inlineStr">
        <is>
          <t>BDH price overrides (already embedded in Prices formulas)</t>
        </is>
      </c>
    </row>
    <row r="13">
      <c r="A13" t="inlineStr">
        <is>
          <t>CshAdjNormal=Y | CshAdjAbnormal=Y | CapChg=Y | Dir=V | Dts=S | Sort=A | Fill=P | Days=A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28" customWidth="1" min="4" max="4"/>
    <col width="12" customWidth="1" min="5" max="5"/>
    <col width="22" customWidth="1" min="6" max="6"/>
    <col width="16" customWidth="1" min="7" max="7"/>
  </cols>
  <sheetData>
    <row r="1">
      <c r="A1" s="4" t="inlineStr">
        <is>
          <t>YahooTicker</t>
        </is>
      </c>
      <c r="B1" s="4" t="inlineStr">
        <is>
          <t>BloombergTicker</t>
        </is>
      </c>
      <c r="C1" s="4" t="inlineStr">
        <is>
          <t>Include</t>
        </is>
      </c>
      <c r="D1" s="4" t="inlineStr">
        <is>
          <t>Name_BDP</t>
        </is>
      </c>
      <c r="E1" s="4" t="inlineStr">
        <is>
          <t>Last_BDP</t>
        </is>
      </c>
      <c r="F1" s="4" t="inlineStr">
        <is>
          <t>Sector_BDP</t>
        </is>
      </c>
      <c r="G1" s="4" t="inlineStr">
        <is>
          <t>MktCap_BDP</t>
        </is>
      </c>
    </row>
    <row r="2">
      <c r="A2" t="inlineStr">
        <is>
          <t>D05.SI</t>
        </is>
      </c>
      <c r="B2" t="inlineStr">
        <is>
          <t>D05 SP Equity</t>
        </is>
      </c>
      <c r="C2" t="inlineStr">
        <is>
          <t>YES</t>
        </is>
      </c>
      <c r="D2">
        <f>BDP(B2,"NAME")</f>
        <v/>
      </c>
      <c r="E2">
        <f>BDP(B2,"PX_LAST")</f>
        <v/>
      </c>
      <c r="F2">
        <f>BDP(B2,"GICS_SECTOR_NAME")</f>
        <v/>
      </c>
      <c r="G2">
        <f>BDP(B2,"CUR_MKT_CAP")</f>
        <v/>
      </c>
    </row>
    <row r="3">
      <c r="A3" t="inlineStr">
        <is>
          <t>O39.SI</t>
        </is>
      </c>
      <c r="B3" t="inlineStr">
        <is>
          <t>O39 SP Equity</t>
        </is>
      </c>
      <c r="C3" t="inlineStr">
        <is>
          <t>YES</t>
        </is>
      </c>
      <c r="D3">
        <f>BDP(B3,"NAME")</f>
        <v/>
      </c>
      <c r="E3">
        <f>BDP(B3,"PX_LAST")</f>
        <v/>
      </c>
      <c r="F3">
        <f>BDP(B3,"GICS_SECTOR_NAME")</f>
        <v/>
      </c>
      <c r="G3">
        <f>BDP(B3,"CUR_MKT_CAP")</f>
        <v/>
      </c>
    </row>
    <row r="4">
      <c r="A4" t="inlineStr">
        <is>
          <t>Z74.SI</t>
        </is>
      </c>
      <c r="B4" t="inlineStr">
        <is>
          <t>Z74 SP Equity</t>
        </is>
      </c>
      <c r="C4" t="inlineStr">
        <is>
          <t>YES</t>
        </is>
      </c>
      <c r="D4">
        <f>BDP(B4,"NAME")</f>
        <v/>
      </c>
      <c r="E4">
        <f>BDP(B4,"PX_LAST")</f>
        <v/>
      </c>
      <c r="F4">
        <f>BDP(B4,"GICS_SECTOR_NAME")</f>
        <v/>
      </c>
      <c r="G4">
        <f>BDP(B4,"CUR_MKT_CAP")</f>
        <v/>
      </c>
    </row>
    <row r="5">
      <c r="A5" t="inlineStr">
        <is>
          <t>U11.SI</t>
        </is>
      </c>
      <c r="B5" t="inlineStr">
        <is>
          <t>U11 SP Equity</t>
        </is>
      </c>
      <c r="C5" t="inlineStr">
        <is>
          <t>YES</t>
        </is>
      </c>
      <c r="D5">
        <f>BDP(B5,"NAME")</f>
        <v/>
      </c>
      <c r="E5">
        <f>BDP(B5,"PX_LAST")</f>
        <v/>
      </c>
      <c r="F5">
        <f>BDP(B5,"GICS_SECTOR_NAME")</f>
        <v/>
      </c>
      <c r="G5">
        <f>BDP(B5,"CUR_MKT_CAP")</f>
        <v/>
      </c>
    </row>
    <row r="6">
      <c r="A6" t="inlineStr">
        <is>
          <t>S63.SI</t>
        </is>
      </c>
      <c r="B6" t="inlineStr">
        <is>
          <t>S63 SP Equity</t>
        </is>
      </c>
      <c r="C6" t="inlineStr">
        <is>
          <t>YES</t>
        </is>
      </c>
      <c r="D6">
        <f>BDP(B6,"NAME")</f>
        <v/>
      </c>
      <c r="E6">
        <f>BDP(B6,"PX_LAST")</f>
        <v/>
      </c>
      <c r="F6">
        <f>BDP(B6,"GICS_SECTOR_NAME")</f>
        <v/>
      </c>
      <c r="G6">
        <f>BDP(B6,"CUR_MKT_CAP")</f>
        <v/>
      </c>
    </row>
    <row r="7">
      <c r="A7" t="inlineStr">
        <is>
          <t>S68.SI</t>
        </is>
      </c>
      <c r="B7" t="inlineStr">
        <is>
          <t>S68 SP Equity</t>
        </is>
      </c>
      <c r="C7" t="inlineStr">
        <is>
          <t>YES</t>
        </is>
      </c>
      <c r="D7">
        <f>BDP(B7,"NAME")</f>
        <v/>
      </c>
      <c r="E7">
        <f>BDP(B7,"PX_LAST")</f>
        <v/>
      </c>
      <c r="F7">
        <f>BDP(B7,"GICS_SECTOR_NAME")</f>
        <v/>
      </c>
      <c r="G7">
        <f>BDP(B7,"CUR_MKT_CAP")</f>
        <v/>
      </c>
    </row>
    <row r="8">
      <c r="A8" t="inlineStr">
        <is>
          <t>J36.SI</t>
        </is>
      </c>
      <c r="B8" t="inlineStr">
        <is>
          <t>J36 SP Equity</t>
        </is>
      </c>
      <c r="C8" t="inlineStr">
        <is>
          <t>YES</t>
        </is>
      </c>
      <c r="D8">
        <f>BDP(B8,"NAME")</f>
        <v/>
      </c>
      <c r="E8">
        <f>BDP(B8,"PX_LAST")</f>
        <v/>
      </c>
      <c r="F8">
        <f>BDP(B8,"GICS_SECTOR_NAME")</f>
        <v/>
      </c>
      <c r="G8">
        <f>BDP(B8,"CUR_MKT_CAP")</f>
        <v/>
      </c>
    </row>
    <row r="9">
      <c r="A9" t="inlineStr">
        <is>
          <t>C6L.SI</t>
        </is>
      </c>
      <c r="B9" t="inlineStr">
        <is>
          <t>C6L SP Equity</t>
        </is>
      </c>
      <c r="C9" t="inlineStr">
        <is>
          <t>YES</t>
        </is>
      </c>
      <c r="D9">
        <f>BDP(B9,"NAME")</f>
        <v/>
      </c>
      <c r="E9">
        <f>BDP(B9,"PX_LAST")</f>
        <v/>
      </c>
      <c r="F9">
        <f>BDP(B9,"GICS_SECTOR_NAME")</f>
        <v/>
      </c>
      <c r="G9">
        <f>BDP(B9,"CUR_MKT_CAP")</f>
        <v/>
      </c>
    </row>
    <row r="10">
      <c r="A10" t="inlineStr">
        <is>
          <t>F34.SI</t>
        </is>
      </c>
      <c r="B10" t="inlineStr">
        <is>
          <t>F34 SP Equity</t>
        </is>
      </c>
      <c r="C10" t="inlineStr">
        <is>
          <t>YES</t>
        </is>
      </c>
      <c r="D10">
        <f>BDP(B10,"NAME")</f>
        <v/>
      </c>
      <c r="E10">
        <f>BDP(B10,"PX_LAST")</f>
        <v/>
      </c>
      <c r="F10">
        <f>BDP(B10,"GICS_SECTOR_NAME")</f>
        <v/>
      </c>
      <c r="G10">
        <f>BDP(B10,"CUR_MKT_CAP")</f>
        <v/>
      </c>
    </row>
    <row r="11">
      <c r="A11" t="inlineStr">
        <is>
          <t>H78.SI</t>
        </is>
      </c>
      <c r="B11" t="inlineStr">
        <is>
          <t>H78 SP Equity</t>
        </is>
      </c>
      <c r="C11" t="inlineStr">
        <is>
          <t>YES</t>
        </is>
      </c>
      <c r="D11">
        <f>BDP(B11,"NAME")</f>
        <v/>
      </c>
      <c r="E11">
        <f>BDP(B11,"PX_LAST")</f>
        <v/>
      </c>
      <c r="F11">
        <f>BDP(B11,"GICS_SECTOR_NAME")</f>
        <v/>
      </c>
      <c r="G11">
        <f>BDP(B11,"CUR_MKT_CAP")</f>
        <v/>
      </c>
    </row>
    <row r="12">
      <c r="A12" t="inlineStr">
        <is>
          <t>BN4.SI</t>
        </is>
      </c>
      <c r="B12" t="inlineStr">
        <is>
          <t>BN4 SP Equity</t>
        </is>
      </c>
      <c r="C12" t="inlineStr">
        <is>
          <t>YES</t>
        </is>
      </c>
      <c r="D12">
        <f>BDP(B12,"NAME")</f>
        <v/>
      </c>
      <c r="E12">
        <f>BDP(B12,"PX_LAST")</f>
        <v/>
      </c>
      <c r="F12">
        <f>BDP(B12,"GICS_SECTOR_NAME")</f>
        <v/>
      </c>
      <c r="G12">
        <f>BDP(B12,"CUR_MKT_CAP")</f>
        <v/>
      </c>
    </row>
    <row r="13">
      <c r="A13" t="inlineStr">
        <is>
          <t>C38U.SI</t>
        </is>
      </c>
      <c r="B13" t="inlineStr">
        <is>
          <t>C38U SP Equity</t>
        </is>
      </c>
      <c r="C13" t="inlineStr">
        <is>
          <t>YES</t>
        </is>
      </c>
      <c r="D13">
        <f>BDP(B13,"NAME")</f>
        <v/>
      </c>
      <c r="E13">
        <f>BDP(B13,"PX_LAST")</f>
        <v/>
      </c>
      <c r="F13">
        <f>BDP(B13,"GICS_SECTOR_NAME")</f>
        <v/>
      </c>
      <c r="G13">
        <f>BDP(B13,"CUR_MKT_CAP")</f>
        <v/>
      </c>
    </row>
    <row r="14">
      <c r="A14" t="inlineStr">
        <is>
          <t>U14.SI</t>
        </is>
      </c>
      <c r="B14" t="inlineStr">
        <is>
          <t>U14 SP Equity</t>
        </is>
      </c>
      <c r="C14" t="inlineStr">
        <is>
          <t>YES</t>
        </is>
      </c>
      <c r="D14">
        <f>BDP(B14,"NAME")</f>
        <v/>
      </c>
      <c r="E14">
        <f>BDP(B14,"PX_LAST")</f>
        <v/>
      </c>
      <c r="F14">
        <f>BDP(B14,"GICS_SECTOR_NAME")</f>
        <v/>
      </c>
      <c r="G14">
        <f>BDP(B14,"CUR_MKT_CAP")</f>
        <v/>
      </c>
    </row>
    <row r="15">
      <c r="A15" t="inlineStr">
        <is>
          <t>5E2.SI</t>
        </is>
      </c>
      <c r="B15" t="inlineStr">
        <is>
          <t>5E2 SP Equity</t>
        </is>
      </c>
      <c r="C15" t="inlineStr">
        <is>
          <t>YES</t>
        </is>
      </c>
      <c r="D15">
        <f>BDP(B15,"NAME")</f>
        <v/>
      </c>
      <c r="E15">
        <f>BDP(B15,"PX_LAST")</f>
        <v/>
      </c>
      <c r="F15">
        <f>BDP(B15,"GICS_SECTOR_NAME")</f>
        <v/>
      </c>
      <c r="G15">
        <f>BDP(B15,"CUR_MKT_CAP")</f>
        <v/>
      </c>
    </row>
    <row r="16">
      <c r="A16" t="inlineStr">
        <is>
          <t>G13.SI</t>
        </is>
      </c>
      <c r="B16" t="inlineStr">
        <is>
          <t>G13 SP Equity</t>
        </is>
      </c>
      <c r="C16" t="inlineStr">
        <is>
          <t>YES</t>
        </is>
      </c>
      <c r="D16">
        <f>BDP(B16,"NAME")</f>
        <v/>
      </c>
      <c r="E16">
        <f>BDP(B16,"PX_LAST")</f>
        <v/>
      </c>
      <c r="F16">
        <f>BDP(B16,"GICS_SECTOR_NAME")</f>
        <v/>
      </c>
      <c r="G16">
        <f>BDP(B16,"CUR_MKT_CAP")</f>
        <v/>
      </c>
    </row>
    <row r="17">
      <c r="A17" t="inlineStr">
        <is>
          <t>S58.SI</t>
        </is>
      </c>
      <c r="B17" t="inlineStr">
        <is>
          <t>S58 SP Equity</t>
        </is>
      </c>
      <c r="C17" t="inlineStr">
        <is>
          <t>YES</t>
        </is>
      </c>
      <c r="D17">
        <f>BDP(B17,"NAME")</f>
        <v/>
      </c>
      <c r="E17">
        <f>BDP(B17,"PX_LAST")</f>
        <v/>
      </c>
      <c r="F17">
        <f>BDP(B17,"GICS_SECTOR_NAME")</f>
        <v/>
      </c>
      <c r="G17">
        <f>BDP(B17,"CUR_MKT_CAP")</f>
        <v/>
      </c>
    </row>
    <row r="18">
      <c r="A18" t="inlineStr">
        <is>
          <t>N2IU.SI</t>
        </is>
      </c>
      <c r="B18" t="inlineStr">
        <is>
          <t>N2IU SP Equity</t>
        </is>
      </c>
      <c r="C18" t="inlineStr">
        <is>
          <t>YES</t>
        </is>
      </c>
      <c r="D18">
        <f>BDP(B18,"NAME")</f>
        <v/>
      </c>
      <c r="E18">
        <f>BDP(B18,"PX_LAST")</f>
        <v/>
      </c>
      <c r="F18">
        <f>BDP(B18,"GICS_SECTOR_NAME")</f>
        <v/>
      </c>
      <c r="G18">
        <f>BDP(B18,"CUR_MKT_CAP")</f>
        <v/>
      </c>
    </row>
    <row r="19">
      <c r="A19" t="inlineStr">
        <is>
          <t>C09.SI</t>
        </is>
      </c>
      <c r="B19" t="inlineStr">
        <is>
          <t>C09 SP Equity</t>
        </is>
      </c>
      <c r="C19" t="inlineStr">
        <is>
          <t>YES</t>
        </is>
      </c>
      <c r="D19">
        <f>BDP(B19,"NAME")</f>
        <v/>
      </c>
      <c r="E19">
        <f>BDP(B19,"PX_LAST")</f>
        <v/>
      </c>
      <c r="F19">
        <f>BDP(B19,"GICS_SECTOR_NAME")</f>
        <v/>
      </c>
      <c r="G19">
        <f>BDP(B19,"CUR_MKT_CAP")</f>
        <v/>
      </c>
    </row>
    <row r="20">
      <c r="A20" t="inlineStr">
        <is>
          <t>D01.SI</t>
        </is>
      </c>
      <c r="B20" t="inlineStr">
        <is>
          <t>D01 SP Equity</t>
        </is>
      </c>
      <c r="C20" t="inlineStr">
        <is>
          <t>YES</t>
        </is>
      </c>
      <c r="D20">
        <f>BDP(B20,"NAME")</f>
        <v/>
      </c>
      <c r="E20">
        <f>BDP(B20,"PX_LAST")</f>
        <v/>
      </c>
      <c r="F20">
        <f>BDP(B20,"GICS_SECTOR_NAME")</f>
        <v/>
      </c>
      <c r="G20">
        <f>BDP(B20,"CUR_MKT_CAP")</f>
        <v/>
      </c>
    </row>
    <row r="21">
      <c r="A21" t="inlineStr">
        <is>
          <t>M44U.SI</t>
        </is>
      </c>
      <c r="B21" t="inlineStr">
        <is>
          <t>M44U SP Equity</t>
        </is>
      </c>
      <c r="C21" t="inlineStr">
        <is>
          <t>YES</t>
        </is>
      </c>
      <c r="D21">
        <f>BDP(B21,"NAME")</f>
        <v/>
      </c>
      <c r="E21">
        <f>BDP(B21,"PX_LAST")</f>
        <v/>
      </c>
      <c r="F21">
        <f>BDP(B21,"GICS_SECTOR_NAME")</f>
        <v/>
      </c>
      <c r="G21">
        <f>BDP(B21,"CUR_MKT_CAP")</f>
        <v/>
      </c>
    </row>
    <row r="22">
      <c r="A22" t="inlineStr">
        <is>
          <t>EB5.SI</t>
        </is>
      </c>
      <c r="B22" t="inlineStr">
        <is>
          <t>EB5 SP Equity</t>
        </is>
      </c>
      <c r="C22" t="inlineStr">
        <is>
          <t>YES</t>
        </is>
      </c>
      <c r="D22">
        <f>BDP(B22,"NAME")</f>
        <v/>
      </c>
      <c r="E22">
        <f>BDP(B22,"PX_LAST")</f>
        <v/>
      </c>
      <c r="F22">
        <f>BDP(B22,"GICS_SECTOR_NAME")</f>
        <v/>
      </c>
      <c r="G22">
        <f>BDP(B22,"CUR_MKT_CAP")</f>
        <v/>
      </c>
    </row>
    <row r="23">
      <c r="A23" t="inlineStr">
        <is>
          <t>ME8U.SI</t>
        </is>
      </c>
      <c r="B23" t="inlineStr">
        <is>
          <t>ME8U SP Equity</t>
        </is>
      </c>
      <c r="C23" t="inlineStr">
        <is>
          <t>YES</t>
        </is>
      </c>
      <c r="D23">
        <f>BDP(B23,"NAME")</f>
        <v/>
      </c>
      <c r="E23">
        <f>BDP(B23,"PX_LAST")</f>
        <v/>
      </c>
      <c r="F23">
        <f>BDP(B23,"GICS_SECTOR_NAME")</f>
        <v/>
      </c>
      <c r="G23">
        <f>BDP(B23,"CUR_MKT_CAP")</f>
        <v/>
      </c>
    </row>
    <row r="24">
      <c r="A24" t="inlineStr">
        <is>
          <t>AJBU.SI</t>
        </is>
      </c>
      <c r="B24" t="inlineStr">
        <is>
          <t>AJBU SP Equity</t>
        </is>
      </c>
      <c r="C24" t="inlineStr">
        <is>
          <t>YES</t>
        </is>
      </c>
      <c r="D24">
        <f>BDP(B24,"NAME")</f>
        <v/>
      </c>
      <c r="E24">
        <f>BDP(B24,"PX_LAST")</f>
        <v/>
      </c>
      <c r="F24">
        <f>BDP(B24,"GICS_SECTOR_NAME")</f>
        <v/>
      </c>
      <c r="G24">
        <f>BDP(B24,"CUR_MKT_CAP")</f>
        <v/>
      </c>
    </row>
    <row r="25">
      <c r="A25" t="inlineStr">
        <is>
          <t>VC2.SI</t>
        </is>
      </c>
      <c r="B25" t="inlineStr">
        <is>
          <t>VC2 SP Equity</t>
        </is>
      </c>
      <c r="C25" t="inlineStr">
        <is>
          <t>YES</t>
        </is>
      </c>
      <c r="D25">
        <f>BDP(B25,"NAME")</f>
        <v/>
      </c>
      <c r="E25">
        <f>BDP(B25,"PX_LAST")</f>
        <v/>
      </c>
      <c r="F25">
        <f>BDP(B25,"GICS_SECTOR_NAME")</f>
        <v/>
      </c>
      <c r="G25">
        <f>BDP(B25,"CUR_MKT_CAP")</f>
        <v/>
      </c>
    </row>
    <row r="26">
      <c r="A26" t="inlineStr">
        <is>
          <t>U06.SI</t>
        </is>
      </c>
      <c r="B26" t="inlineStr">
        <is>
          <t>U06 SP Equity</t>
        </is>
      </c>
      <c r="C26" t="inlineStr">
        <is>
          <t>YES</t>
        </is>
      </c>
      <c r="D26">
        <f>BDP(B26,"NAME")</f>
        <v/>
      </c>
      <c r="E26">
        <f>BDP(B26,"PX_LAST")</f>
        <v/>
      </c>
      <c r="F26">
        <f>BDP(B26,"GICS_SECTOR_NAME")</f>
        <v/>
      </c>
      <c r="G26">
        <f>BDP(B26,"CUR_MKT_CAP")</f>
        <v/>
      </c>
    </row>
    <row r="27">
      <c r="A27" t="inlineStr">
        <is>
          <t>OV8.SI</t>
        </is>
      </c>
      <c r="B27" t="inlineStr">
        <is>
          <t>OV8 SP Equity</t>
        </is>
      </c>
      <c r="C27" t="inlineStr">
        <is>
          <t>YES</t>
        </is>
      </c>
      <c r="D27">
        <f>BDP(B27,"NAME")</f>
        <v/>
      </c>
      <c r="E27">
        <f>BDP(B27,"PX_LAST")</f>
        <v/>
      </c>
      <c r="F27">
        <f>BDP(B27,"GICS_SECTOR_NAME")</f>
        <v/>
      </c>
      <c r="G27">
        <f>BDP(B27,"CUR_MKT_CAP")</f>
        <v/>
      </c>
    </row>
    <row r="28">
      <c r="A28" t="inlineStr">
        <is>
          <t>V03.SI</t>
        </is>
      </c>
      <c r="B28" t="inlineStr">
        <is>
          <t>V03 SP Equity</t>
        </is>
      </c>
      <c r="C28" t="inlineStr">
        <is>
          <t>YES</t>
        </is>
      </c>
      <c r="D28">
        <f>BDP(B28,"NAME")</f>
        <v/>
      </c>
      <c r="E28">
        <f>BDP(B28,"PX_LAST")</f>
        <v/>
      </c>
      <c r="F28">
        <f>BDP(B28,"GICS_SECTOR_NAME")</f>
        <v/>
      </c>
      <c r="G28">
        <f>BDP(B28,"CUR_MKT_CAP")</f>
        <v/>
      </c>
    </row>
    <row r="29">
      <c r="A29" t="inlineStr">
        <is>
          <t>J69U.SI</t>
        </is>
      </c>
      <c r="B29" t="inlineStr">
        <is>
          <t>J69U SP Equity</t>
        </is>
      </c>
      <c r="C29" t="inlineStr">
        <is>
          <t>YES</t>
        </is>
      </c>
      <c r="D29">
        <f>BDP(B29,"NAME")</f>
        <v/>
      </c>
      <c r="E29">
        <f>BDP(B29,"PX_LAST")</f>
        <v/>
      </c>
      <c r="F29">
        <f>BDP(B29,"GICS_SECTOR_NAME")</f>
        <v/>
      </c>
      <c r="G29">
        <f>BDP(B29,"CUR_MKT_CAP")</f>
        <v/>
      </c>
    </row>
    <row r="30">
      <c r="A30" t="inlineStr">
        <is>
          <t>T82U.SI</t>
        </is>
      </c>
      <c r="B30" t="inlineStr">
        <is>
          <t>T82U SP Equity</t>
        </is>
      </c>
      <c r="C30" t="inlineStr">
        <is>
          <t>YES</t>
        </is>
      </c>
      <c r="D30">
        <f>BDP(B30,"NAME")</f>
        <v/>
      </c>
      <c r="E30">
        <f>BDP(B30,"PX_LAST")</f>
        <v/>
      </c>
      <c r="F30">
        <f>BDP(B30,"GICS_SECTOR_NAME")</f>
        <v/>
      </c>
      <c r="G30">
        <f>BDP(B30,"CUR_MKT_CAP")</f>
        <v/>
      </c>
    </row>
    <row r="31">
      <c r="A31" t="inlineStr">
        <is>
          <t>K71U.SI</t>
        </is>
      </c>
      <c r="B31" t="inlineStr">
        <is>
          <t>K71U SP Equity</t>
        </is>
      </c>
      <c r="C31" t="inlineStr">
        <is>
          <t>YES</t>
        </is>
      </c>
      <c r="D31">
        <f>BDP(B31,"NAME")</f>
        <v/>
      </c>
      <c r="E31">
        <f>BDP(B31,"PX_LAST")</f>
        <v/>
      </c>
      <c r="F31">
        <f>BDP(B31,"GICS_SECTOR_NAME")</f>
        <v/>
      </c>
      <c r="G31">
        <f>BDP(B31,"CUR_MKT_CAP")</f>
        <v/>
      </c>
    </row>
    <row r="32">
      <c r="A32" t="inlineStr">
        <is>
          <t>U10.SI</t>
        </is>
      </c>
      <c r="B32" t="inlineStr">
        <is>
          <t>U10 SP Equity</t>
        </is>
      </c>
      <c r="C32" t="inlineStr">
        <is>
          <t>YES</t>
        </is>
      </c>
      <c r="D32">
        <f>BDP(B32,"NAME")</f>
        <v/>
      </c>
      <c r="E32">
        <f>BDP(B32,"PX_LAST")</f>
        <v/>
      </c>
      <c r="F32">
        <f>BDP(B32,"GICS_SECTOR_NAME")</f>
        <v/>
      </c>
      <c r="G32">
        <f>BDP(B32,"CUR_MKT_CAP")</f>
        <v/>
      </c>
    </row>
    <row r="33">
      <c r="A33" t="inlineStr">
        <is>
          <t>TQ5.SI</t>
        </is>
      </c>
      <c r="B33" t="inlineStr">
        <is>
          <t>TQ5 SP Equity</t>
        </is>
      </c>
      <c r="C33" t="inlineStr">
        <is>
          <t>YES</t>
        </is>
      </c>
      <c r="D33">
        <f>BDP(B33,"NAME")</f>
        <v/>
      </c>
      <c r="E33">
        <f>BDP(B33,"PX_LAST")</f>
        <v/>
      </c>
      <c r="F33">
        <f>BDP(B33,"GICS_SECTOR_NAME")</f>
        <v/>
      </c>
      <c r="G33">
        <f>BDP(B33,"CUR_MKT_CAP")</f>
        <v/>
      </c>
    </row>
    <row r="34">
      <c r="A34" t="inlineStr">
        <is>
          <t>CJL.SI</t>
        </is>
      </c>
      <c r="B34" t="inlineStr">
        <is>
          <t>CJL SP Equity</t>
        </is>
      </c>
      <c r="C34" t="inlineStr">
        <is>
          <t>YES</t>
        </is>
      </c>
      <c r="D34">
        <f>BDP(B34,"NAME")</f>
        <v/>
      </c>
      <c r="E34">
        <f>BDP(B34,"PX_LAST")</f>
        <v/>
      </c>
      <c r="F34">
        <f>BDP(B34,"GICS_SECTOR_NAME")</f>
        <v/>
      </c>
      <c r="G34">
        <f>BDP(B34,"CUR_MKT_CAP")</f>
        <v/>
      </c>
    </row>
    <row r="35">
      <c r="A35" t="inlineStr">
        <is>
          <t>BUOU.SI</t>
        </is>
      </c>
      <c r="B35" t="inlineStr">
        <is>
          <t>BUOU SP Equity</t>
        </is>
      </c>
      <c r="C35" t="inlineStr">
        <is>
          <t>YES</t>
        </is>
      </c>
      <c r="D35">
        <f>BDP(B35,"NAME")</f>
        <v/>
      </c>
      <c r="E35">
        <f>BDP(B35,"PX_LAST")</f>
        <v/>
      </c>
      <c r="F35">
        <f>BDP(B35,"GICS_SECTOR_NAME")</f>
        <v/>
      </c>
      <c r="G35">
        <f>BDP(B35,"CUR_MKT_CAP")</f>
        <v/>
      </c>
    </row>
    <row r="36">
      <c r="A36" t="inlineStr">
        <is>
          <t>S59.SI</t>
        </is>
      </c>
      <c r="B36" t="inlineStr">
        <is>
          <t>S59 SP Equity</t>
        </is>
      </c>
      <c r="C36" t="inlineStr">
        <is>
          <t>YES</t>
        </is>
      </c>
      <c r="D36">
        <f>BDP(B36,"NAME")</f>
        <v/>
      </c>
      <c r="E36">
        <f>BDP(B36,"PX_LAST")</f>
        <v/>
      </c>
      <c r="F36">
        <f>BDP(B36,"GICS_SECTOR_NAME")</f>
        <v/>
      </c>
      <c r="G36">
        <f>BDP(B36,"CUR_MKT_CAP")</f>
        <v/>
      </c>
    </row>
    <row r="37">
      <c r="A37" t="inlineStr">
        <is>
          <t>E5H.SI</t>
        </is>
      </c>
      <c r="B37" t="inlineStr">
        <is>
          <t>E5H SP Equity</t>
        </is>
      </c>
      <c r="C37" t="inlineStr">
        <is>
          <t>YES</t>
        </is>
      </c>
      <c r="D37">
        <f>BDP(B37,"NAME")</f>
        <v/>
      </c>
      <c r="E37">
        <f>BDP(B37,"PX_LAST")</f>
        <v/>
      </c>
      <c r="F37">
        <f>BDP(B37,"GICS_SECTOR_NAME")</f>
        <v/>
      </c>
      <c r="G37">
        <f>BDP(B37,"CUR_MKT_CAP")</f>
        <v/>
      </c>
    </row>
    <row r="38">
      <c r="A38" t="inlineStr">
        <is>
          <t>H02.SI</t>
        </is>
      </c>
      <c r="B38" t="inlineStr">
        <is>
          <t>H02 SP Equity</t>
        </is>
      </c>
      <c r="C38" t="inlineStr">
        <is>
          <t>YES</t>
        </is>
      </c>
      <c r="D38">
        <f>BDP(B38,"NAME")</f>
        <v/>
      </c>
      <c r="E38">
        <f>BDP(B38,"PX_LAST")</f>
        <v/>
      </c>
      <c r="F38">
        <f>BDP(B38,"GICS_SECTOR_NAME")</f>
        <v/>
      </c>
      <c r="G38">
        <f>BDP(B38,"CUR_MKT_CAP")</f>
        <v/>
      </c>
    </row>
    <row r="39">
      <c r="A39" t="inlineStr">
        <is>
          <t>HMN.SI</t>
        </is>
      </c>
      <c r="B39" t="inlineStr">
        <is>
          <t>HMN SP Equity</t>
        </is>
      </c>
      <c r="C39" t="inlineStr">
        <is>
          <t>YES</t>
        </is>
      </c>
      <c r="D39">
        <f>BDP(B39,"NAME")</f>
        <v/>
      </c>
      <c r="E39">
        <f>BDP(B39,"PX_LAST")</f>
        <v/>
      </c>
      <c r="F39">
        <f>BDP(B39,"GICS_SECTOR_NAME")</f>
        <v/>
      </c>
      <c r="G39">
        <f>BDP(B39,"CUR_MKT_CAP")</f>
        <v/>
      </c>
    </row>
    <row r="40">
      <c r="A40" t="inlineStr">
        <is>
          <t>A7RU.SI</t>
        </is>
      </c>
      <c r="B40" t="inlineStr">
        <is>
          <t>A7RU SP Equity</t>
        </is>
      </c>
      <c r="C40" t="inlineStr">
        <is>
          <t>YES</t>
        </is>
      </c>
      <c r="D40">
        <f>BDP(B40,"NAME")</f>
        <v/>
      </c>
      <c r="E40">
        <f>BDP(B40,"PX_LAST")</f>
        <v/>
      </c>
      <c r="F40">
        <f>BDP(B40,"GICS_SECTOR_NAME")</f>
        <v/>
      </c>
      <c r="G40">
        <f>BDP(B40,"CUR_MKT_CAP")</f>
        <v/>
      </c>
    </row>
    <row r="41">
      <c r="A41" t="inlineStr">
        <is>
          <t>P8Z.SI</t>
        </is>
      </c>
      <c r="B41" t="inlineStr">
        <is>
          <t>P8Z SP Equity</t>
        </is>
      </c>
      <c r="C41" t="inlineStr">
        <is>
          <t>YES</t>
        </is>
      </c>
      <c r="D41">
        <f>BDP(B41,"NAME")</f>
        <v/>
      </c>
      <c r="E41">
        <f>BDP(B41,"PX_LAST")</f>
        <v/>
      </c>
      <c r="F41">
        <f>BDP(B41,"GICS_SECTOR_NAME")</f>
        <v/>
      </c>
      <c r="G41">
        <f>BDP(B41,"CUR_MKT_CAP")</f>
        <v/>
      </c>
    </row>
    <row r="42">
      <c r="A42" t="inlineStr">
        <is>
          <t>C52.SI</t>
        </is>
      </c>
      <c r="B42" t="inlineStr">
        <is>
          <t>C52 SP Equity</t>
        </is>
      </c>
      <c r="C42" t="inlineStr">
        <is>
          <t>YES</t>
        </is>
      </c>
      <c r="D42">
        <f>BDP(B42,"NAME")</f>
        <v/>
      </c>
      <c r="E42">
        <f>BDP(B42,"PX_LAST")</f>
        <v/>
      </c>
      <c r="F42">
        <f>BDP(B42,"GICS_SECTOR_NAME")</f>
        <v/>
      </c>
      <c r="G42">
        <f>BDP(B42,"CUR_MKT_CAP")</f>
        <v/>
      </c>
    </row>
    <row r="43">
      <c r="A43" t="inlineStr">
        <is>
          <t>AWX.SI</t>
        </is>
      </c>
      <c r="B43" t="inlineStr">
        <is>
          <t>AWX SP Equity</t>
        </is>
      </c>
      <c r="C43" t="inlineStr">
        <is>
          <t>YES</t>
        </is>
      </c>
      <c r="D43">
        <f>BDP(B43,"NAME")</f>
        <v/>
      </c>
      <c r="E43">
        <f>BDP(B43,"PX_LAST")</f>
        <v/>
      </c>
      <c r="F43">
        <f>BDP(B43,"GICS_SECTOR_NAME")</f>
        <v/>
      </c>
      <c r="G43">
        <f>BDP(B43,"CUR_MKT_CAP")</f>
        <v/>
      </c>
    </row>
    <row r="44">
      <c r="A44" t="inlineStr">
        <is>
          <t>AIY.SI</t>
        </is>
      </c>
      <c r="B44" t="inlineStr">
        <is>
          <t>AIY SP Equity</t>
        </is>
      </c>
      <c r="C44" t="inlineStr">
        <is>
          <t>YES</t>
        </is>
      </c>
      <c r="D44">
        <f>BDP(B44,"NAME")</f>
        <v/>
      </c>
      <c r="E44">
        <f>BDP(B44,"PX_LAST")</f>
        <v/>
      </c>
      <c r="F44">
        <f>BDP(B44,"GICS_SECTOR_NAME")</f>
        <v/>
      </c>
      <c r="G44">
        <f>BDP(B44,"CUR_MKT_CAP")</f>
        <v/>
      </c>
    </row>
    <row r="45">
      <c r="A45" t="inlineStr">
        <is>
          <t>C2PU.SI</t>
        </is>
      </c>
      <c r="B45" t="inlineStr">
        <is>
          <t>C2PU SP Equity</t>
        </is>
      </c>
      <c r="C45" t="inlineStr">
        <is>
          <t>YES</t>
        </is>
      </c>
      <c r="D45">
        <f>BDP(B45,"NAME")</f>
        <v/>
      </c>
      <c r="E45">
        <f>BDP(B45,"PX_LAST")</f>
        <v/>
      </c>
      <c r="F45">
        <f>BDP(B45,"GICS_SECTOR_NAME")</f>
        <v/>
      </c>
      <c r="G45">
        <f>BDP(B45,"CUR_MKT_CAP")</f>
        <v/>
      </c>
    </row>
    <row r="46">
      <c r="A46" t="inlineStr">
        <is>
          <t>F17.SI</t>
        </is>
      </c>
      <c r="B46" t="inlineStr">
        <is>
          <t>F17 SP Equity</t>
        </is>
      </c>
      <c r="C46" t="inlineStr">
        <is>
          <t>YES</t>
        </is>
      </c>
      <c r="D46">
        <f>BDP(B46,"NAME")</f>
        <v/>
      </c>
      <c r="E46">
        <f>BDP(B46,"PX_LAST")</f>
        <v/>
      </c>
      <c r="F46">
        <f>BDP(B46,"GICS_SECTOR_NAME")</f>
        <v/>
      </c>
      <c r="G46">
        <f>BDP(B46,"CUR_MKT_CAP")</f>
        <v/>
      </c>
    </row>
    <row r="47">
      <c r="A47" t="inlineStr">
        <is>
          <t>H15.SI</t>
        </is>
      </c>
      <c r="B47" t="inlineStr">
        <is>
          <t>H15 SP Equity</t>
        </is>
      </c>
      <c r="C47" t="inlineStr">
        <is>
          <t>YES</t>
        </is>
      </c>
      <c r="D47">
        <f>BDP(B47,"NAME")</f>
        <v/>
      </c>
      <c r="E47">
        <f>BDP(B47,"PX_LAST")</f>
        <v/>
      </c>
      <c r="F47">
        <f>BDP(B47,"GICS_SECTOR_NAME")</f>
        <v/>
      </c>
      <c r="G47">
        <f>BDP(B47,"CUR_MKT_CAP")</f>
        <v/>
      </c>
    </row>
    <row r="48">
      <c r="A48" t="inlineStr">
        <is>
          <t>H22.SI</t>
        </is>
      </c>
      <c r="B48" t="inlineStr">
        <is>
          <t>H22 SP Equity</t>
        </is>
      </c>
      <c r="C48" t="inlineStr">
        <is>
          <t>YES</t>
        </is>
      </c>
      <c r="D48">
        <f>BDP(B48,"NAME")</f>
        <v/>
      </c>
      <c r="E48">
        <f>BDP(B48,"PX_LAST")</f>
        <v/>
      </c>
      <c r="F48">
        <f>BDP(B48,"GICS_SECTOR_NAME")</f>
        <v/>
      </c>
      <c r="G48">
        <f>BDP(B48,"CUR_MKT_CAP")</f>
        <v/>
      </c>
    </row>
    <row r="49">
      <c r="A49" t="inlineStr">
        <is>
          <t>558.SI</t>
        </is>
      </c>
      <c r="B49" t="inlineStr">
        <is>
          <t>558 SP Equity</t>
        </is>
      </c>
      <c r="C49" t="inlineStr">
        <is>
          <t>YES</t>
        </is>
      </c>
      <c r="D49">
        <f>BDP(B49,"NAME")</f>
        <v/>
      </c>
      <c r="E49">
        <f>BDP(B49,"PX_LAST")</f>
        <v/>
      </c>
      <c r="F49">
        <f>BDP(B49,"GICS_SECTOR_NAME")</f>
        <v/>
      </c>
      <c r="G49">
        <f>BDP(B49,"CUR_MKT_CAP")</f>
        <v/>
      </c>
    </row>
    <row r="50">
      <c r="A50" t="inlineStr">
        <is>
          <t>NS8U.SI</t>
        </is>
      </c>
      <c r="B50" t="inlineStr">
        <is>
          <t>NS8U SP Equity</t>
        </is>
      </c>
      <c r="C50" t="inlineStr">
        <is>
          <t>YES</t>
        </is>
      </c>
      <c r="D50">
        <f>BDP(B50,"NAME")</f>
        <v/>
      </c>
      <c r="E50">
        <f>BDP(B50,"PX_LAST")</f>
        <v/>
      </c>
      <c r="F50">
        <f>BDP(B50,"GICS_SECTOR_NAME")</f>
        <v/>
      </c>
      <c r="G50">
        <f>BDP(B50,"CUR_MKT_CAP")</f>
        <v/>
      </c>
    </row>
    <row r="51">
      <c r="A51" t="inlineStr">
        <is>
          <t>8Y.SI</t>
        </is>
      </c>
      <c r="B51" t="inlineStr">
        <is>
          <t>8Y SP Equity</t>
        </is>
      </c>
      <c r="C51" t="inlineStr">
        <is>
          <t>YES</t>
        </is>
      </c>
      <c r="D51">
        <f>BDP(B51,"NAME")</f>
        <v/>
      </c>
      <c r="E51">
        <f>BDP(B51,"PX_LAST")</f>
        <v/>
      </c>
      <c r="F51">
        <f>BDP(B51,"GICS_SECTOR_NAME")</f>
        <v/>
      </c>
      <c r="G51">
        <f>BDP(B51,"CUR_MKT_CAP")</f>
        <v/>
      </c>
    </row>
    <row r="52">
      <c r="A52" t="inlineStr">
        <is>
          <t>F99.SI</t>
        </is>
      </c>
      <c r="B52" t="inlineStr">
        <is>
          <t>F99 SP Equity</t>
        </is>
      </c>
      <c r="C52" t="inlineStr">
        <is>
          <t>YES</t>
        </is>
      </c>
      <c r="D52">
        <f>BDP(B52,"NAME")</f>
        <v/>
      </c>
      <c r="E52">
        <f>BDP(B52,"PX_LAST")</f>
        <v/>
      </c>
      <c r="F52">
        <f>BDP(B52,"GICS_SECTOR_NAME")</f>
        <v/>
      </c>
      <c r="G52">
        <f>BDP(B52,"CUR_MKT_CAP")</f>
        <v/>
      </c>
    </row>
    <row r="53">
      <c r="A53" t="inlineStr">
        <is>
          <t>TS0U.SI</t>
        </is>
      </c>
      <c r="B53" t="inlineStr">
        <is>
          <t>TS0U SP Equity</t>
        </is>
      </c>
      <c r="C53" t="inlineStr">
        <is>
          <t>YES</t>
        </is>
      </c>
      <c r="D53">
        <f>BDP(B53,"NAME")</f>
        <v/>
      </c>
      <c r="E53">
        <f>BDP(B53,"PX_LAST")</f>
        <v/>
      </c>
      <c r="F53">
        <f>BDP(B53,"GICS_SECTOR_NAME")</f>
        <v/>
      </c>
      <c r="G53">
        <f>BDP(B53,"CUR_MKT_CAP")</f>
        <v/>
      </c>
    </row>
    <row r="54">
      <c r="A54" t="inlineStr">
        <is>
          <t>9A4U.SI</t>
        </is>
      </c>
      <c r="B54" t="inlineStr">
        <is>
          <t>9A4U SP Equity</t>
        </is>
      </c>
      <c r="C54" t="inlineStr">
        <is>
          <t>YES</t>
        </is>
      </c>
      <c r="D54">
        <f>BDP(B54,"NAME")</f>
        <v/>
      </c>
      <c r="E54">
        <f>BDP(B54,"PX_LAST")</f>
        <v/>
      </c>
      <c r="F54">
        <f>BDP(B54,"GICS_SECTOR_NAME")</f>
        <v/>
      </c>
      <c r="G54">
        <f>BDP(B54,"CUR_MKT_CAP")</f>
        <v/>
      </c>
    </row>
    <row r="55">
      <c r="A55" t="inlineStr">
        <is>
          <t>8C8U.SI</t>
        </is>
      </c>
      <c r="B55" t="inlineStr">
        <is>
          <t>8C8U SP Equity</t>
        </is>
      </c>
      <c r="C55" t="inlineStr">
        <is>
          <t>YES</t>
        </is>
      </c>
      <c r="D55">
        <f>BDP(B55,"NAME")</f>
        <v/>
      </c>
      <c r="E55">
        <f>BDP(B55,"PX_LAST")</f>
        <v/>
      </c>
      <c r="F55">
        <f>BDP(B55,"GICS_SECTOR_NAME")</f>
        <v/>
      </c>
      <c r="G55">
        <f>BDP(B55,"CUR_MKT_CAP")</f>
        <v/>
      </c>
    </row>
    <row r="56">
      <c r="A56" t="inlineStr">
        <is>
          <t>SEB.SI</t>
        </is>
      </c>
      <c r="B56" t="inlineStr">
        <is>
          <t>SEB SP Equity</t>
        </is>
      </c>
      <c r="C56" t="inlineStr">
        <is>
          <t>YES</t>
        </is>
      </c>
      <c r="D56">
        <f>BDP(B56,"NAME")</f>
        <v/>
      </c>
      <c r="E56">
        <f>BDP(B56,"PX_LAST")</f>
        <v/>
      </c>
      <c r="F56">
        <f>BDP(B56,"GICS_SECTOR_NAME")</f>
        <v/>
      </c>
      <c r="G56">
        <f>BDP(B56,"CUR_MKT_CAP")</f>
        <v/>
      </c>
    </row>
    <row r="57">
      <c r="A57" t="inlineStr">
        <is>
          <t>Z25.SI</t>
        </is>
      </c>
      <c r="B57" t="inlineStr">
        <is>
          <t>Z25 SP Equity</t>
        </is>
      </c>
      <c r="C57" t="inlineStr">
        <is>
          <t>YES</t>
        </is>
      </c>
      <c r="D57">
        <f>BDP(B57,"NAME")</f>
        <v/>
      </c>
      <c r="E57">
        <f>BDP(B57,"PX_LAST")</f>
        <v/>
      </c>
      <c r="F57">
        <f>BDP(B57,"GICS_SECTOR_NAME")</f>
        <v/>
      </c>
      <c r="G57">
        <f>BDP(B57,"CUR_MKT_CAP")</f>
        <v/>
      </c>
    </row>
    <row r="58">
      <c r="A58" t="inlineStr">
        <is>
          <t>AP4.SI</t>
        </is>
      </c>
      <c r="B58" t="inlineStr">
        <is>
          <t>AP4 SP Equity</t>
        </is>
      </c>
      <c r="C58" t="inlineStr">
        <is>
          <t>YES</t>
        </is>
      </c>
      <c r="D58">
        <f>BDP(B58,"NAME")</f>
        <v/>
      </c>
      <c r="E58">
        <f>BDP(B58,"PX_LAST")</f>
        <v/>
      </c>
      <c r="F58">
        <f>BDP(B58,"GICS_SECTOR_NAME")</f>
        <v/>
      </c>
      <c r="G58">
        <f>BDP(B58,"CUR_MKT_CAP")</f>
        <v/>
      </c>
    </row>
    <row r="59">
      <c r="A59" t="inlineStr">
        <is>
          <t>P40U.SI</t>
        </is>
      </c>
      <c r="B59" t="inlineStr">
        <is>
          <t>P40U SP Equity</t>
        </is>
      </c>
      <c r="C59" t="inlineStr">
        <is>
          <t>YES</t>
        </is>
      </c>
      <c r="D59">
        <f>BDP(B59,"NAME")</f>
        <v/>
      </c>
      <c r="E59">
        <f>BDP(B59,"PX_LAST")</f>
        <v/>
      </c>
      <c r="F59">
        <f>BDP(B59,"GICS_SECTOR_NAME")</f>
        <v/>
      </c>
      <c r="G59">
        <f>BDP(B59,"CUR_MKT_CAP")</f>
        <v/>
      </c>
    </row>
    <row r="60">
      <c r="A60" t="inlineStr">
        <is>
          <t>B61.SI</t>
        </is>
      </c>
      <c r="B60" t="inlineStr">
        <is>
          <t>B61 SP Equity</t>
        </is>
      </c>
      <c r="C60" t="inlineStr">
        <is>
          <t>YES</t>
        </is>
      </c>
      <c r="D60">
        <f>BDP(B60,"NAME")</f>
        <v/>
      </c>
      <c r="E60">
        <f>BDP(B60,"PX_LAST")</f>
        <v/>
      </c>
      <c r="F60">
        <f>BDP(B60,"GICS_SECTOR_NAME")</f>
        <v/>
      </c>
      <c r="G60">
        <f>BDP(B60,"CUR_MKT_CAP")</f>
        <v/>
      </c>
    </row>
    <row r="61">
      <c r="A61" t="inlineStr">
        <is>
          <t>NTDU.SI</t>
        </is>
      </c>
      <c r="B61" t="inlineStr">
        <is>
          <t>NTDU SP Equity</t>
        </is>
      </c>
      <c r="C61" t="inlineStr">
        <is>
          <t>YES</t>
        </is>
      </c>
      <c r="D61">
        <f>BDP(B61,"NAME")</f>
        <v/>
      </c>
      <c r="E61">
        <f>BDP(B61,"PX_LAST")</f>
        <v/>
      </c>
      <c r="F61">
        <f>BDP(B61,"GICS_SECTOR_NAME")</f>
        <v/>
      </c>
      <c r="G61">
        <f>BDP(B61,"CUR_MKT_CAP")</f>
        <v/>
      </c>
    </row>
    <row r="62">
      <c r="A62" t="inlineStr">
        <is>
          <t>W05.SI</t>
        </is>
      </c>
      <c r="B62" t="inlineStr">
        <is>
          <t>W05 SP Equity</t>
        </is>
      </c>
      <c r="C62" t="inlineStr">
        <is>
          <t>YES</t>
        </is>
      </c>
      <c r="D62">
        <f>BDP(B62,"NAME")</f>
        <v/>
      </c>
      <c r="E62">
        <f>BDP(B62,"PX_LAST")</f>
        <v/>
      </c>
      <c r="F62">
        <f>BDP(B62,"GICS_SECTOR_NAME")</f>
        <v/>
      </c>
      <c r="G62">
        <f>BDP(B62,"CUR_MKT_CAP")</f>
        <v/>
      </c>
    </row>
    <row r="63">
      <c r="A63" t="inlineStr">
        <is>
          <t>Q5T.SI</t>
        </is>
      </c>
      <c r="B63" t="inlineStr">
        <is>
          <t>Q5T SP Equity</t>
        </is>
      </c>
      <c r="C63" t="inlineStr">
        <is>
          <t>YES</t>
        </is>
      </c>
      <c r="D63">
        <f>BDP(B63,"NAME")</f>
        <v/>
      </c>
      <c r="E63">
        <f>BDP(B63,"PX_LAST")</f>
        <v/>
      </c>
      <c r="F63">
        <f>BDP(B63,"GICS_SECTOR_NAME")</f>
        <v/>
      </c>
      <c r="G63">
        <f>BDP(B63,"CUR_MKT_CAP")</f>
        <v/>
      </c>
    </row>
    <row r="64">
      <c r="A64" t="inlineStr">
        <is>
          <t>BEC.SI</t>
        </is>
      </c>
      <c r="B64" t="inlineStr">
        <is>
          <t>BEC SP Equity</t>
        </is>
      </c>
      <c r="C64" t="inlineStr">
        <is>
          <t>YES</t>
        </is>
      </c>
      <c r="D64">
        <f>BDP(B64,"NAME")</f>
        <v/>
      </c>
      <c r="E64">
        <f>BDP(B64,"PX_LAST")</f>
        <v/>
      </c>
      <c r="F64">
        <f>BDP(B64,"GICS_SECTOR_NAME")</f>
        <v/>
      </c>
      <c r="G64">
        <f>BDP(B64,"CUR_MKT_CAP")</f>
        <v/>
      </c>
    </row>
    <row r="65">
      <c r="A65" t="inlineStr">
        <is>
          <t>E28.SI</t>
        </is>
      </c>
      <c r="B65" t="inlineStr">
        <is>
          <t>E28 SP Equity</t>
        </is>
      </c>
      <c r="C65" t="inlineStr">
        <is>
          <t>YES</t>
        </is>
      </c>
      <c r="D65">
        <f>BDP(B65,"NAME")</f>
        <v/>
      </c>
      <c r="E65">
        <f>BDP(B65,"PX_LAST")</f>
        <v/>
      </c>
      <c r="F65">
        <f>BDP(B65,"GICS_SECTOR_NAME")</f>
        <v/>
      </c>
      <c r="G65">
        <f>BDP(B65,"CUR_MKT_CAP")</f>
        <v/>
      </c>
    </row>
    <row r="66">
      <c r="A66" t="inlineStr">
        <is>
          <t>UIBU.SI</t>
        </is>
      </c>
      <c r="B66" t="inlineStr">
        <is>
          <t>UIBU SP Equity</t>
        </is>
      </c>
      <c r="C66" t="inlineStr">
        <is>
          <t>YES</t>
        </is>
      </c>
      <c r="D66">
        <f>BDP(B66,"NAME")</f>
        <v/>
      </c>
      <c r="E66">
        <f>BDP(B66,"PX_LAST")</f>
        <v/>
      </c>
      <c r="F66">
        <f>BDP(B66,"GICS_SECTOR_NAME")</f>
        <v/>
      </c>
      <c r="G66">
        <f>BDP(B66,"CUR_MKT_CAP")</f>
        <v/>
      </c>
    </row>
    <row r="67">
      <c r="A67" t="inlineStr">
        <is>
          <t>AU8U.SI</t>
        </is>
      </c>
      <c r="B67" t="inlineStr">
        <is>
          <t>AU8U SP Equity</t>
        </is>
      </c>
      <c r="C67" t="inlineStr">
        <is>
          <t>YES</t>
        </is>
      </c>
      <c r="D67">
        <f>BDP(B67,"NAME")</f>
        <v/>
      </c>
      <c r="E67">
        <f>BDP(B67,"PX_LAST")</f>
        <v/>
      </c>
      <c r="F67">
        <f>BDP(B67,"GICS_SECTOR_NAME")</f>
        <v/>
      </c>
      <c r="G67">
        <f>BDP(B67,"CUR_MKT_CAP")</f>
        <v/>
      </c>
    </row>
    <row r="68">
      <c r="A68" t="inlineStr">
        <is>
          <t>P52.SI</t>
        </is>
      </c>
      <c r="B68" t="inlineStr">
        <is>
          <t>P52 SP Equity</t>
        </is>
      </c>
      <c r="C68" t="inlineStr">
        <is>
          <t>YES</t>
        </is>
      </c>
      <c r="D68">
        <f>BDP(B68,"NAME")</f>
        <v/>
      </c>
      <c r="E68">
        <f>BDP(B68,"PX_LAST")</f>
        <v/>
      </c>
      <c r="F68">
        <f>BDP(B68,"GICS_SECTOR_NAME")</f>
        <v/>
      </c>
      <c r="G68">
        <f>BDP(B68,"CUR_MKT_CAP")</f>
        <v/>
      </c>
    </row>
    <row r="69">
      <c r="A69" t="inlineStr">
        <is>
          <t>S41.SI</t>
        </is>
      </c>
      <c r="B69" t="inlineStr">
        <is>
          <t>S41 SP Equity</t>
        </is>
      </c>
      <c r="C69" t="inlineStr">
        <is>
          <t>YES</t>
        </is>
      </c>
      <c r="D69">
        <f>BDP(B69,"NAME")</f>
        <v/>
      </c>
      <c r="E69">
        <f>BDP(B69,"PX_LAST")</f>
        <v/>
      </c>
      <c r="F69">
        <f>BDP(B69,"GICS_SECTOR_NAME")</f>
        <v/>
      </c>
      <c r="G69">
        <f>BDP(B69,"CUR_MKT_CAP")</f>
        <v/>
      </c>
    </row>
    <row r="70">
      <c r="A70" t="inlineStr">
        <is>
          <t>S61.SI</t>
        </is>
      </c>
      <c r="B70" t="inlineStr">
        <is>
          <t>S61 SP Equity</t>
        </is>
      </c>
      <c r="C70" t="inlineStr">
        <is>
          <t>YES</t>
        </is>
      </c>
      <c r="D70">
        <f>BDP(B70,"NAME")</f>
        <v/>
      </c>
      <c r="E70">
        <f>BDP(B70,"PX_LAST")</f>
        <v/>
      </c>
      <c r="F70">
        <f>BDP(B70,"GICS_SECTOR_NAME")</f>
        <v/>
      </c>
      <c r="G70">
        <f>BDP(B70,"CUR_MKT_CAP")</f>
        <v/>
      </c>
    </row>
    <row r="71">
      <c r="A71" t="inlineStr">
        <is>
          <t>PCT.SI</t>
        </is>
      </c>
      <c r="B71" t="inlineStr">
        <is>
          <t>PCT SP Equity</t>
        </is>
      </c>
      <c r="C71" t="inlineStr">
        <is>
          <t>YES</t>
        </is>
      </c>
      <c r="D71">
        <f>BDP(B71,"NAME")</f>
        <v/>
      </c>
      <c r="E71">
        <f>BDP(B71,"PX_LAST")</f>
        <v/>
      </c>
      <c r="F71">
        <f>BDP(B71,"GICS_SECTOR_NAME")</f>
        <v/>
      </c>
      <c r="G71">
        <f>BDP(B71,"CUR_MKT_CAP")</f>
        <v/>
      </c>
    </row>
    <row r="72">
      <c r="A72" t="inlineStr">
        <is>
          <t>ADN.SI</t>
        </is>
      </c>
      <c r="B72" t="inlineStr">
        <is>
          <t>ADN SP Equity</t>
        </is>
      </c>
      <c r="C72" t="inlineStr">
        <is>
          <t>YES</t>
        </is>
      </c>
      <c r="D72">
        <f>BDP(B72,"NAME")</f>
        <v/>
      </c>
      <c r="E72">
        <f>BDP(B72,"PX_LAST")</f>
        <v/>
      </c>
      <c r="F72">
        <f>BDP(B72,"GICS_SECTOR_NAME")</f>
        <v/>
      </c>
      <c r="G72">
        <f>BDP(B72,"CUR_MKT_CAP")</f>
        <v/>
      </c>
    </row>
    <row r="73">
      <c r="A73" t="inlineStr">
        <is>
          <t>F9D.SI</t>
        </is>
      </c>
      <c r="B73" t="inlineStr">
        <is>
          <t>F9D SP Equity</t>
        </is>
      </c>
      <c r="C73" t="inlineStr">
        <is>
          <t>YES</t>
        </is>
      </c>
      <c r="D73">
        <f>BDP(B73,"NAME")</f>
        <v/>
      </c>
      <c r="E73">
        <f>BDP(B73,"PX_LAST")</f>
        <v/>
      </c>
      <c r="F73">
        <f>BDP(B73,"GICS_SECTOR_NAME")</f>
        <v/>
      </c>
      <c r="G73">
        <f>BDP(B73,"CUR_MKT_CAP")</f>
        <v/>
      </c>
    </row>
    <row r="74">
      <c r="A74" t="inlineStr">
        <is>
          <t>FHH.SI</t>
        </is>
      </c>
      <c r="B74" t="inlineStr">
        <is>
          <t>FHH SP Equity</t>
        </is>
      </c>
      <c r="C74" t="inlineStr">
        <is>
          <t>YES</t>
        </is>
      </c>
      <c r="D74">
        <f>BDP(B74,"NAME")</f>
        <v/>
      </c>
      <c r="E74">
        <f>BDP(B74,"PX_LAST")</f>
        <v/>
      </c>
      <c r="F74">
        <f>BDP(B74,"GICS_SECTOR_NAME")</f>
        <v/>
      </c>
      <c r="G74">
        <f>BDP(B74,"CUR_MKT_CAP")</f>
        <v/>
      </c>
    </row>
    <row r="75">
      <c r="A75" t="inlineStr">
        <is>
          <t>J85.SI</t>
        </is>
      </c>
      <c r="B75" t="inlineStr">
        <is>
          <t>J85 SP Equity</t>
        </is>
      </c>
      <c r="C75" t="inlineStr">
        <is>
          <t>YES</t>
        </is>
      </c>
      <c r="D75">
        <f>BDP(B75,"NAME")</f>
        <v/>
      </c>
      <c r="E75">
        <f>BDP(B75,"PX_LAST")</f>
        <v/>
      </c>
      <c r="F75">
        <f>BDP(B75,"GICS_SECTOR_NAME")</f>
        <v/>
      </c>
      <c r="G75">
        <f>BDP(B75,"CUR_MKT_CAP")</f>
        <v/>
      </c>
    </row>
    <row r="76">
      <c r="A76" t="inlineStr">
        <is>
          <t>T6I.SI</t>
        </is>
      </c>
      <c r="B76" t="inlineStr">
        <is>
          <t>T6I SP Equity</t>
        </is>
      </c>
      <c r="C76" t="inlineStr">
        <is>
          <t>YES</t>
        </is>
      </c>
      <c r="D76">
        <f>BDP(B76,"NAME")</f>
        <v/>
      </c>
      <c r="E76">
        <f>BDP(B76,"PX_LAST")</f>
        <v/>
      </c>
      <c r="F76">
        <f>BDP(B76,"GICS_SECTOR_NAME")</f>
        <v/>
      </c>
      <c r="G76">
        <f>BDP(B76,"CUR_MKT_CAP")</f>
        <v/>
      </c>
    </row>
    <row r="77">
      <c r="A77" t="inlineStr">
        <is>
          <t>RE4.SI</t>
        </is>
      </c>
      <c r="B77" t="inlineStr">
        <is>
          <t>RE4 SP Equity</t>
        </is>
      </c>
      <c r="C77" t="inlineStr">
        <is>
          <t>YES</t>
        </is>
      </c>
      <c r="D77">
        <f>BDP(B77,"NAME")</f>
        <v/>
      </c>
      <c r="E77">
        <f>BDP(B77,"PX_LAST")</f>
        <v/>
      </c>
      <c r="F77">
        <f>BDP(B77,"GICS_SECTOR_NAME")</f>
        <v/>
      </c>
      <c r="G77">
        <f>BDP(B77,"CUR_MKT_CAP")</f>
        <v/>
      </c>
    </row>
    <row r="78">
      <c r="A78" t="inlineStr">
        <is>
          <t>544.SI</t>
        </is>
      </c>
      <c r="B78" t="inlineStr">
        <is>
          <t>544 SP Equity</t>
        </is>
      </c>
      <c r="C78" t="inlineStr">
        <is>
          <t>YES</t>
        </is>
      </c>
      <c r="D78">
        <f>BDP(B78,"NAME")</f>
        <v/>
      </c>
      <c r="E78">
        <f>BDP(B78,"PX_LAST")</f>
        <v/>
      </c>
      <c r="F78">
        <f>BDP(B78,"GICS_SECTOR_NAME")</f>
        <v/>
      </c>
      <c r="G78">
        <f>BDP(B78,"CUR_MKT_CAP")</f>
        <v/>
      </c>
    </row>
    <row r="79">
      <c r="A79" t="inlineStr">
        <is>
          <t>CRPU.SI</t>
        </is>
      </c>
      <c r="B79" t="inlineStr">
        <is>
          <t>CRPU SP Equity</t>
        </is>
      </c>
      <c r="C79" t="inlineStr">
        <is>
          <t>YES</t>
        </is>
      </c>
      <c r="D79">
        <f>BDP(B79,"NAME")</f>
        <v/>
      </c>
      <c r="E79">
        <f>BDP(B79,"PX_LAST")</f>
        <v/>
      </c>
      <c r="F79">
        <f>BDP(B79,"GICS_SECTOR_NAME")</f>
        <v/>
      </c>
      <c r="G79">
        <f>BDP(B79,"CUR_MKT_CAP")</f>
        <v/>
      </c>
    </row>
    <row r="80">
      <c r="A80" t="inlineStr">
        <is>
          <t>DCRU.SI</t>
        </is>
      </c>
      <c r="B80" t="inlineStr">
        <is>
          <t>DCRU SP Equity</t>
        </is>
      </c>
      <c r="C80" t="inlineStr">
        <is>
          <t>YES</t>
        </is>
      </c>
      <c r="D80">
        <f>BDP(B80,"NAME")</f>
        <v/>
      </c>
      <c r="E80">
        <f>BDP(B80,"PX_LAST")</f>
        <v/>
      </c>
      <c r="F80">
        <f>BDP(B80,"GICS_SECTOR_NAME")</f>
        <v/>
      </c>
      <c r="G80">
        <f>BDP(B80,"CUR_MKT_CAP")</f>
        <v/>
      </c>
    </row>
    <row r="81">
      <c r="A81" t="inlineStr">
        <is>
          <t>ES3.SI</t>
        </is>
      </c>
      <c r="B81" t="inlineStr">
        <is>
          <t>ES3 SP Equity</t>
        </is>
      </c>
      <c r="C81" t="inlineStr">
        <is>
          <t>BENCH</t>
        </is>
      </c>
      <c r="D81">
        <f>BDP(B81,"NAME")</f>
        <v/>
      </c>
      <c r="E81">
        <f>BDP(B81,"PX_LAST")</f>
        <v/>
      </c>
      <c r="F81">
        <f>BDP(B81,"GICS_SECTOR_NAME")</f>
        <v/>
      </c>
      <c r="G81">
        <f>BDP(B81,"CUR_MKT_CAP")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Each ticker = 2 columns (Date | Value) with Dts=S. NOT DBS-only dates. Scroll right. Run bbg_to_csv.py to merge into wide price_data.csv.</t>
        </is>
      </c>
    </row>
    <row r="3">
      <c r="A3" s="5" t="inlineStr">
        <is>
          <t>D05.SI</t>
        </is>
      </c>
      <c r="B3" s="5" t="inlineStr">
        <is>
          <t>Value</t>
        </is>
      </c>
      <c r="C3" s="5" t="inlineStr">
        <is>
          <t>O39.SI</t>
        </is>
      </c>
      <c r="D3" s="5" t="inlineStr">
        <is>
          <t>Value</t>
        </is>
      </c>
      <c r="E3" s="5" t="inlineStr">
        <is>
          <t>Z74.SI</t>
        </is>
      </c>
      <c r="F3" s="5" t="inlineStr">
        <is>
          <t>Value</t>
        </is>
      </c>
      <c r="G3" s="5" t="inlineStr">
        <is>
          <t>U11.SI</t>
        </is>
      </c>
      <c r="H3" s="5" t="inlineStr">
        <is>
          <t>Value</t>
        </is>
      </c>
      <c r="I3" s="5" t="inlineStr">
        <is>
          <t>S63.SI</t>
        </is>
      </c>
      <c r="J3" s="5" t="inlineStr">
        <is>
          <t>Value</t>
        </is>
      </c>
      <c r="K3" s="5" t="inlineStr">
        <is>
          <t>S68.SI</t>
        </is>
      </c>
      <c r="L3" s="5" t="inlineStr">
        <is>
          <t>Value</t>
        </is>
      </c>
      <c r="M3" s="5" t="inlineStr">
        <is>
          <t>J36.SI</t>
        </is>
      </c>
      <c r="N3" s="5" t="inlineStr">
        <is>
          <t>Value</t>
        </is>
      </c>
      <c r="O3" s="5" t="inlineStr">
        <is>
          <t>C6L.SI</t>
        </is>
      </c>
      <c r="P3" s="5" t="inlineStr">
        <is>
          <t>Value</t>
        </is>
      </c>
      <c r="Q3" s="5" t="inlineStr">
        <is>
          <t>F34.SI</t>
        </is>
      </c>
      <c r="R3" s="5" t="inlineStr">
        <is>
          <t>Value</t>
        </is>
      </c>
      <c r="S3" s="5" t="inlineStr">
        <is>
          <t>H78.SI</t>
        </is>
      </c>
      <c r="T3" s="5" t="inlineStr">
        <is>
          <t>Value</t>
        </is>
      </c>
      <c r="U3" s="5" t="inlineStr">
        <is>
          <t>BN4.SI</t>
        </is>
      </c>
      <c r="V3" s="5" t="inlineStr">
        <is>
          <t>Value</t>
        </is>
      </c>
      <c r="W3" s="5" t="inlineStr">
        <is>
          <t>C38U.SI</t>
        </is>
      </c>
      <c r="X3" s="5" t="inlineStr">
        <is>
          <t>Value</t>
        </is>
      </c>
      <c r="Y3" s="5" t="inlineStr">
        <is>
          <t>U14.SI</t>
        </is>
      </c>
      <c r="Z3" s="5" t="inlineStr">
        <is>
          <t>Value</t>
        </is>
      </c>
      <c r="AA3" s="5" t="inlineStr">
        <is>
          <t>5E2.SI</t>
        </is>
      </c>
      <c r="AB3" s="5" t="inlineStr">
        <is>
          <t>Value</t>
        </is>
      </c>
      <c r="AC3" s="5" t="inlineStr">
        <is>
          <t>G13.SI</t>
        </is>
      </c>
      <c r="AD3" s="5" t="inlineStr">
        <is>
          <t>Value</t>
        </is>
      </c>
      <c r="AE3" s="5" t="inlineStr">
        <is>
          <t>S58.SI</t>
        </is>
      </c>
      <c r="AF3" s="5" t="inlineStr">
        <is>
          <t>Value</t>
        </is>
      </c>
      <c r="AG3" s="5" t="inlineStr">
        <is>
          <t>N2IU.SI</t>
        </is>
      </c>
      <c r="AH3" s="5" t="inlineStr">
        <is>
          <t>Value</t>
        </is>
      </c>
      <c r="AI3" s="5" t="inlineStr">
        <is>
          <t>C09.SI</t>
        </is>
      </c>
      <c r="AJ3" s="5" t="inlineStr">
        <is>
          <t>Value</t>
        </is>
      </c>
      <c r="AK3" s="5" t="inlineStr">
        <is>
          <t>D01.SI</t>
        </is>
      </c>
      <c r="AL3" s="5" t="inlineStr">
        <is>
          <t>Value</t>
        </is>
      </c>
      <c r="AM3" s="5" t="inlineStr">
        <is>
          <t>M44U.SI</t>
        </is>
      </c>
      <c r="AN3" s="5" t="inlineStr">
        <is>
          <t>Value</t>
        </is>
      </c>
      <c r="AO3" s="5" t="inlineStr">
        <is>
          <t>EB5.SI</t>
        </is>
      </c>
      <c r="AP3" s="5" t="inlineStr">
        <is>
          <t>Value</t>
        </is>
      </c>
      <c r="AQ3" s="5" t="inlineStr">
        <is>
          <t>ME8U.SI</t>
        </is>
      </c>
      <c r="AR3" s="5" t="inlineStr">
        <is>
          <t>Value</t>
        </is>
      </c>
      <c r="AS3" s="5" t="inlineStr">
        <is>
          <t>AJBU.SI</t>
        </is>
      </c>
      <c r="AT3" s="5" t="inlineStr">
        <is>
          <t>Value</t>
        </is>
      </c>
      <c r="AU3" s="5" t="inlineStr">
        <is>
          <t>VC2.SI</t>
        </is>
      </c>
      <c r="AV3" s="5" t="inlineStr">
        <is>
          <t>Value</t>
        </is>
      </c>
      <c r="AW3" s="5" t="inlineStr">
        <is>
          <t>U06.SI</t>
        </is>
      </c>
      <c r="AX3" s="5" t="inlineStr">
        <is>
          <t>Value</t>
        </is>
      </c>
      <c r="AY3" s="5" t="inlineStr">
        <is>
          <t>OV8.SI</t>
        </is>
      </c>
      <c r="AZ3" s="5" t="inlineStr">
        <is>
          <t>Value</t>
        </is>
      </c>
      <c r="BA3" s="5" t="inlineStr">
        <is>
          <t>V03.SI</t>
        </is>
      </c>
      <c r="BB3" s="5" t="inlineStr">
        <is>
          <t>Value</t>
        </is>
      </c>
      <c r="BC3" s="5" t="inlineStr">
        <is>
          <t>J69U.SI</t>
        </is>
      </c>
      <c r="BD3" s="5" t="inlineStr">
        <is>
          <t>Value</t>
        </is>
      </c>
      <c r="BE3" s="5" t="inlineStr">
        <is>
          <t>T82U.SI</t>
        </is>
      </c>
      <c r="BF3" s="5" t="inlineStr">
        <is>
          <t>Value</t>
        </is>
      </c>
      <c r="BG3" s="5" t="inlineStr">
        <is>
          <t>K71U.SI</t>
        </is>
      </c>
      <c r="BH3" s="5" t="inlineStr">
        <is>
          <t>Value</t>
        </is>
      </c>
      <c r="BI3" s="5" t="inlineStr">
        <is>
          <t>U10.SI</t>
        </is>
      </c>
      <c r="BJ3" s="5" t="inlineStr">
        <is>
          <t>Value</t>
        </is>
      </c>
      <c r="BK3" s="5" t="inlineStr">
        <is>
          <t>TQ5.SI</t>
        </is>
      </c>
      <c r="BL3" s="5" t="inlineStr">
        <is>
          <t>Value</t>
        </is>
      </c>
      <c r="BM3" s="5" t="inlineStr">
        <is>
          <t>CJL.SI</t>
        </is>
      </c>
      <c r="BN3" s="5" t="inlineStr">
        <is>
          <t>Value</t>
        </is>
      </c>
      <c r="BO3" s="5" t="inlineStr">
        <is>
          <t>BUOU.SI</t>
        </is>
      </c>
      <c r="BP3" s="5" t="inlineStr">
        <is>
          <t>Value</t>
        </is>
      </c>
      <c r="BQ3" s="5" t="inlineStr">
        <is>
          <t>S59.SI</t>
        </is>
      </c>
      <c r="BR3" s="5" t="inlineStr">
        <is>
          <t>Value</t>
        </is>
      </c>
      <c r="BS3" s="5" t="inlineStr">
        <is>
          <t>E5H.SI</t>
        </is>
      </c>
      <c r="BT3" s="5" t="inlineStr">
        <is>
          <t>Value</t>
        </is>
      </c>
      <c r="BU3" s="5" t="inlineStr">
        <is>
          <t>H02.SI</t>
        </is>
      </c>
      <c r="BV3" s="5" t="inlineStr">
        <is>
          <t>Value</t>
        </is>
      </c>
      <c r="BW3" s="5" t="inlineStr">
        <is>
          <t>HMN.SI</t>
        </is>
      </c>
      <c r="BX3" s="5" t="inlineStr">
        <is>
          <t>Value</t>
        </is>
      </c>
      <c r="BY3" s="5" t="inlineStr">
        <is>
          <t>A7RU.SI</t>
        </is>
      </c>
      <c r="BZ3" s="5" t="inlineStr">
        <is>
          <t>Value</t>
        </is>
      </c>
      <c r="CA3" s="5" t="inlineStr">
        <is>
          <t>P8Z.SI</t>
        </is>
      </c>
      <c r="CB3" s="5" t="inlineStr">
        <is>
          <t>Value</t>
        </is>
      </c>
      <c r="CC3" s="5" t="inlineStr">
        <is>
          <t>C52.SI</t>
        </is>
      </c>
      <c r="CD3" s="5" t="inlineStr">
        <is>
          <t>Value</t>
        </is>
      </c>
      <c r="CE3" s="5" t="inlineStr">
        <is>
          <t>AWX.SI</t>
        </is>
      </c>
      <c r="CF3" s="5" t="inlineStr">
        <is>
          <t>Value</t>
        </is>
      </c>
      <c r="CG3" s="5" t="inlineStr">
        <is>
          <t>AIY.SI</t>
        </is>
      </c>
      <c r="CH3" s="5" t="inlineStr">
        <is>
          <t>Value</t>
        </is>
      </c>
      <c r="CI3" s="5" t="inlineStr">
        <is>
          <t>C2PU.SI</t>
        </is>
      </c>
      <c r="CJ3" s="5" t="inlineStr">
        <is>
          <t>Value</t>
        </is>
      </c>
      <c r="CK3" s="5" t="inlineStr">
        <is>
          <t>F17.SI</t>
        </is>
      </c>
      <c r="CL3" s="5" t="inlineStr">
        <is>
          <t>Value</t>
        </is>
      </c>
      <c r="CM3" s="5" t="inlineStr">
        <is>
          <t>H15.SI</t>
        </is>
      </c>
      <c r="CN3" s="5" t="inlineStr">
        <is>
          <t>Value</t>
        </is>
      </c>
      <c r="CO3" s="5" t="inlineStr">
        <is>
          <t>H22.SI</t>
        </is>
      </c>
      <c r="CP3" s="5" t="inlineStr">
        <is>
          <t>Value</t>
        </is>
      </c>
      <c r="CQ3" s="5" t="inlineStr">
        <is>
          <t>558.SI</t>
        </is>
      </c>
      <c r="CR3" s="5" t="inlineStr">
        <is>
          <t>Value</t>
        </is>
      </c>
      <c r="CS3" s="5" t="inlineStr">
        <is>
          <t>NS8U.SI</t>
        </is>
      </c>
      <c r="CT3" s="5" t="inlineStr">
        <is>
          <t>Value</t>
        </is>
      </c>
      <c r="CU3" s="5" t="inlineStr">
        <is>
          <t>8Y.SI</t>
        </is>
      </c>
      <c r="CV3" s="5" t="inlineStr">
        <is>
          <t>Value</t>
        </is>
      </c>
      <c r="CW3" s="5" t="inlineStr">
        <is>
          <t>F99.SI</t>
        </is>
      </c>
      <c r="CX3" s="5" t="inlineStr">
        <is>
          <t>Value</t>
        </is>
      </c>
      <c r="CY3" s="5" t="inlineStr">
        <is>
          <t>TS0U.SI</t>
        </is>
      </c>
      <c r="CZ3" s="5" t="inlineStr">
        <is>
          <t>Value</t>
        </is>
      </c>
      <c r="DA3" s="5" t="inlineStr">
        <is>
          <t>9A4U.SI</t>
        </is>
      </c>
      <c r="DB3" s="5" t="inlineStr">
        <is>
          <t>Value</t>
        </is>
      </c>
      <c r="DC3" s="5" t="inlineStr">
        <is>
          <t>8C8U.SI</t>
        </is>
      </c>
      <c r="DD3" s="5" t="inlineStr">
        <is>
          <t>Value</t>
        </is>
      </c>
      <c r="DE3" s="5" t="inlineStr">
        <is>
          <t>SEB.SI</t>
        </is>
      </c>
      <c r="DF3" s="5" t="inlineStr">
        <is>
          <t>Value</t>
        </is>
      </c>
      <c r="DG3" s="5" t="inlineStr">
        <is>
          <t>Z25.SI</t>
        </is>
      </c>
      <c r="DH3" s="5" t="inlineStr">
        <is>
          <t>Value</t>
        </is>
      </c>
      <c r="DI3" s="5" t="inlineStr">
        <is>
          <t>AP4.SI</t>
        </is>
      </c>
      <c r="DJ3" s="5" t="inlineStr">
        <is>
          <t>Value</t>
        </is>
      </c>
      <c r="DK3" s="5" t="inlineStr">
        <is>
          <t>P40U.SI</t>
        </is>
      </c>
      <c r="DL3" s="5" t="inlineStr">
        <is>
          <t>Value</t>
        </is>
      </c>
      <c r="DM3" s="5" t="inlineStr">
        <is>
          <t>B61.SI</t>
        </is>
      </c>
      <c r="DN3" s="5" t="inlineStr">
        <is>
          <t>Value</t>
        </is>
      </c>
      <c r="DO3" s="5" t="inlineStr">
        <is>
          <t>NTDU.SI</t>
        </is>
      </c>
      <c r="DP3" s="5" t="inlineStr">
        <is>
          <t>Value</t>
        </is>
      </c>
      <c r="DQ3" s="5" t="inlineStr">
        <is>
          <t>W05.SI</t>
        </is>
      </c>
      <c r="DR3" s="5" t="inlineStr">
        <is>
          <t>Value</t>
        </is>
      </c>
      <c r="DS3" s="5" t="inlineStr">
        <is>
          <t>Q5T.SI</t>
        </is>
      </c>
      <c r="DT3" s="5" t="inlineStr">
        <is>
          <t>Value</t>
        </is>
      </c>
      <c r="DU3" s="5" t="inlineStr">
        <is>
          <t>BEC.SI</t>
        </is>
      </c>
      <c r="DV3" s="5" t="inlineStr">
        <is>
          <t>Value</t>
        </is>
      </c>
      <c r="DW3" s="5" t="inlineStr">
        <is>
          <t>E28.SI</t>
        </is>
      </c>
      <c r="DX3" s="5" t="inlineStr">
        <is>
          <t>Value</t>
        </is>
      </c>
      <c r="DY3" s="5" t="inlineStr">
        <is>
          <t>UIBU.SI</t>
        </is>
      </c>
      <c r="DZ3" s="5" t="inlineStr">
        <is>
          <t>Value</t>
        </is>
      </c>
      <c r="EA3" s="5" t="inlineStr">
        <is>
          <t>AU8U.SI</t>
        </is>
      </c>
      <c r="EB3" s="5" t="inlineStr">
        <is>
          <t>Value</t>
        </is>
      </c>
      <c r="EC3" s="5" t="inlineStr">
        <is>
          <t>P52.SI</t>
        </is>
      </c>
      <c r="ED3" s="5" t="inlineStr">
        <is>
          <t>Value</t>
        </is>
      </c>
      <c r="EE3" s="5" t="inlineStr">
        <is>
          <t>S41.SI</t>
        </is>
      </c>
      <c r="EF3" s="5" t="inlineStr">
        <is>
          <t>Value</t>
        </is>
      </c>
      <c r="EG3" s="5" t="inlineStr">
        <is>
          <t>S61.SI</t>
        </is>
      </c>
      <c r="EH3" s="5" t="inlineStr">
        <is>
          <t>Value</t>
        </is>
      </c>
      <c r="EI3" s="5" t="inlineStr">
        <is>
          <t>PCT.SI</t>
        </is>
      </c>
      <c r="EJ3" s="5" t="inlineStr">
        <is>
          <t>Value</t>
        </is>
      </c>
      <c r="EK3" s="5" t="inlineStr">
        <is>
          <t>ADN.SI</t>
        </is>
      </c>
      <c r="EL3" s="5" t="inlineStr">
        <is>
          <t>Value</t>
        </is>
      </c>
      <c r="EM3" s="5" t="inlineStr">
        <is>
          <t>F9D.SI</t>
        </is>
      </c>
      <c r="EN3" s="5" t="inlineStr">
        <is>
          <t>Value</t>
        </is>
      </c>
      <c r="EO3" s="5" t="inlineStr">
        <is>
          <t>FHH.SI</t>
        </is>
      </c>
      <c r="EP3" s="5" t="inlineStr">
        <is>
          <t>Value</t>
        </is>
      </c>
      <c r="EQ3" s="5" t="inlineStr">
        <is>
          <t>J85.SI</t>
        </is>
      </c>
      <c r="ER3" s="5" t="inlineStr">
        <is>
          <t>Value</t>
        </is>
      </c>
      <c r="ES3" s="5" t="inlineStr">
        <is>
          <t>T6I.SI</t>
        </is>
      </c>
      <c r="ET3" s="5" t="inlineStr">
        <is>
          <t>Value</t>
        </is>
      </c>
      <c r="EU3" s="5" t="inlineStr">
        <is>
          <t>RE4.SI</t>
        </is>
      </c>
      <c r="EV3" s="5" t="inlineStr">
        <is>
          <t>Value</t>
        </is>
      </c>
      <c r="EW3" s="5" t="inlineStr">
        <is>
          <t>544.SI</t>
        </is>
      </c>
      <c r="EX3" s="5" t="inlineStr">
        <is>
          <t>Value</t>
        </is>
      </c>
      <c r="EY3" s="5" t="inlineStr">
        <is>
          <t>CRPU.SI</t>
        </is>
      </c>
      <c r="EZ3" s="5" t="inlineStr">
        <is>
          <t>Value</t>
        </is>
      </c>
      <c r="FA3" s="5" t="inlineStr">
        <is>
          <t>DCRU.SI</t>
        </is>
      </c>
      <c r="FB3" s="5" t="inlineStr">
        <is>
          <t>Value</t>
        </is>
      </c>
    </row>
    <row r="4">
      <c r="A4">
        <f>BDH(Universe!B2,"PX_LAST",Control!$B$2,Control!$B$3,"Dir=V","Dts=S","Sort=A","CshAdjNormal=Y","CshAdjAbnormal=Y","CapChg=Y","Fill=P","Days=A")</f>
        <v/>
      </c>
      <c r="C4">
        <f>BDH(Universe!B3,"PX_LAST",Control!$B$2,Control!$B$3,"Dir=V","Dts=S","Sort=A","CshAdjNormal=Y","CshAdjAbnormal=Y","CapChg=Y","Fill=P","Days=A")</f>
        <v/>
      </c>
      <c r="E4">
        <f>BDH(Universe!B4,"PX_LAST",Control!$B$2,Control!$B$3,"Dir=V","Dts=S","Sort=A","CshAdjNormal=Y","CshAdjAbnormal=Y","CapChg=Y","Fill=P","Days=A")</f>
        <v/>
      </c>
      <c r="G4">
        <f>BDH(Universe!B5,"PX_LAST",Control!$B$2,Control!$B$3,"Dir=V","Dts=S","Sort=A","CshAdjNormal=Y","CshAdjAbnormal=Y","CapChg=Y","Fill=P","Days=A")</f>
        <v/>
      </c>
      <c r="I4">
        <f>BDH(Universe!B6,"PX_LAST",Control!$B$2,Control!$B$3,"Dir=V","Dts=S","Sort=A","CshAdjNormal=Y","CshAdjAbnormal=Y","CapChg=Y","Fill=P","Days=A")</f>
        <v/>
      </c>
      <c r="K4">
        <f>BDH(Universe!B7,"PX_LAST",Control!$B$2,Control!$B$3,"Dir=V","Dts=S","Sort=A","CshAdjNormal=Y","CshAdjAbnormal=Y","CapChg=Y","Fill=P","Days=A")</f>
        <v/>
      </c>
      <c r="M4">
        <f>BDH(Universe!B8,"PX_LAST",Control!$B$2,Control!$B$3,"Dir=V","Dts=S","Sort=A","CshAdjNormal=Y","CshAdjAbnormal=Y","CapChg=Y","Fill=P","Days=A")</f>
        <v/>
      </c>
      <c r="O4">
        <f>BDH(Universe!B9,"PX_LAST",Control!$B$2,Control!$B$3,"Dir=V","Dts=S","Sort=A","CshAdjNormal=Y","CshAdjAbnormal=Y","CapChg=Y","Fill=P","Days=A")</f>
        <v/>
      </c>
      <c r="Q4">
        <f>BDH(Universe!B10,"PX_LAST",Control!$B$2,Control!$B$3,"Dir=V","Dts=S","Sort=A","CshAdjNormal=Y","CshAdjAbnormal=Y","CapChg=Y","Fill=P","Days=A")</f>
        <v/>
      </c>
      <c r="S4">
        <f>BDH(Universe!B11,"PX_LAST",Control!$B$2,Control!$B$3,"Dir=V","Dts=S","Sort=A","CshAdjNormal=Y","CshAdjAbnormal=Y","CapChg=Y","Fill=P","Days=A")</f>
        <v/>
      </c>
      <c r="U4">
        <f>BDH(Universe!B12,"PX_LAST",Control!$B$2,Control!$B$3,"Dir=V","Dts=S","Sort=A","CshAdjNormal=Y","CshAdjAbnormal=Y","CapChg=Y","Fill=P","Days=A")</f>
        <v/>
      </c>
      <c r="W4">
        <f>BDH(Universe!B13,"PX_LAST",Control!$B$2,Control!$B$3,"Dir=V","Dts=S","Sort=A","CshAdjNormal=Y","CshAdjAbnormal=Y","CapChg=Y","Fill=P","Days=A")</f>
        <v/>
      </c>
      <c r="Y4">
        <f>BDH(Universe!B14,"PX_LAST",Control!$B$2,Control!$B$3,"Dir=V","Dts=S","Sort=A","CshAdjNormal=Y","CshAdjAbnormal=Y","CapChg=Y","Fill=P","Days=A")</f>
        <v/>
      </c>
      <c r="AA4">
        <f>BDH(Universe!B15,"PX_LAST",Control!$B$2,Control!$B$3,"Dir=V","Dts=S","Sort=A","CshAdjNormal=Y","CshAdjAbnormal=Y","CapChg=Y","Fill=P","Days=A")</f>
        <v/>
      </c>
      <c r="AC4">
        <f>BDH(Universe!B16,"PX_LAST",Control!$B$2,Control!$B$3,"Dir=V","Dts=S","Sort=A","CshAdjNormal=Y","CshAdjAbnormal=Y","CapChg=Y","Fill=P","Days=A")</f>
        <v/>
      </c>
      <c r="AE4">
        <f>BDH(Universe!B17,"PX_LAST",Control!$B$2,Control!$B$3,"Dir=V","Dts=S","Sort=A","CshAdjNormal=Y","CshAdjAbnormal=Y","CapChg=Y","Fill=P","Days=A")</f>
        <v/>
      </c>
      <c r="AG4">
        <f>BDH(Universe!B18,"PX_LAST",Control!$B$2,Control!$B$3,"Dir=V","Dts=S","Sort=A","CshAdjNormal=Y","CshAdjAbnormal=Y","CapChg=Y","Fill=P","Days=A")</f>
        <v/>
      </c>
      <c r="AI4">
        <f>BDH(Universe!B19,"PX_LAST",Control!$B$2,Control!$B$3,"Dir=V","Dts=S","Sort=A","CshAdjNormal=Y","CshAdjAbnormal=Y","CapChg=Y","Fill=P","Days=A")</f>
        <v/>
      </c>
      <c r="AK4">
        <f>BDH(Universe!B20,"PX_LAST",Control!$B$2,Control!$B$3,"Dir=V","Dts=S","Sort=A","CshAdjNormal=Y","CshAdjAbnormal=Y","CapChg=Y","Fill=P","Days=A")</f>
        <v/>
      </c>
      <c r="AM4">
        <f>BDH(Universe!B21,"PX_LAST",Control!$B$2,Control!$B$3,"Dir=V","Dts=S","Sort=A","CshAdjNormal=Y","CshAdjAbnormal=Y","CapChg=Y","Fill=P","Days=A")</f>
        <v/>
      </c>
      <c r="AO4">
        <f>BDH(Universe!B22,"PX_LAST",Control!$B$2,Control!$B$3,"Dir=V","Dts=S","Sort=A","CshAdjNormal=Y","CshAdjAbnormal=Y","CapChg=Y","Fill=P","Days=A")</f>
        <v/>
      </c>
      <c r="AQ4">
        <f>BDH(Universe!B23,"PX_LAST",Control!$B$2,Control!$B$3,"Dir=V","Dts=S","Sort=A","CshAdjNormal=Y","CshAdjAbnormal=Y","CapChg=Y","Fill=P","Days=A")</f>
        <v/>
      </c>
      <c r="AS4">
        <f>BDH(Universe!B24,"PX_LAST",Control!$B$2,Control!$B$3,"Dir=V","Dts=S","Sort=A","CshAdjNormal=Y","CshAdjAbnormal=Y","CapChg=Y","Fill=P","Days=A")</f>
        <v/>
      </c>
      <c r="AU4">
        <f>BDH(Universe!B25,"PX_LAST",Control!$B$2,Control!$B$3,"Dir=V","Dts=S","Sort=A","CshAdjNormal=Y","CshAdjAbnormal=Y","CapChg=Y","Fill=P","Days=A")</f>
        <v/>
      </c>
      <c r="AW4">
        <f>BDH(Universe!B26,"PX_LAST",Control!$B$2,Control!$B$3,"Dir=V","Dts=S","Sort=A","CshAdjNormal=Y","CshAdjAbnormal=Y","CapChg=Y","Fill=P","Days=A")</f>
        <v/>
      </c>
      <c r="AY4">
        <f>BDH(Universe!B27,"PX_LAST",Control!$B$2,Control!$B$3,"Dir=V","Dts=S","Sort=A","CshAdjNormal=Y","CshAdjAbnormal=Y","CapChg=Y","Fill=P","Days=A")</f>
        <v/>
      </c>
      <c r="BA4">
        <f>BDH(Universe!B28,"PX_LAST",Control!$B$2,Control!$B$3,"Dir=V","Dts=S","Sort=A","CshAdjNormal=Y","CshAdjAbnormal=Y","CapChg=Y","Fill=P","Days=A")</f>
        <v/>
      </c>
      <c r="BC4">
        <f>BDH(Universe!B29,"PX_LAST",Control!$B$2,Control!$B$3,"Dir=V","Dts=S","Sort=A","CshAdjNormal=Y","CshAdjAbnormal=Y","CapChg=Y","Fill=P","Days=A")</f>
        <v/>
      </c>
      <c r="BE4">
        <f>BDH(Universe!B30,"PX_LAST",Control!$B$2,Control!$B$3,"Dir=V","Dts=S","Sort=A","CshAdjNormal=Y","CshAdjAbnormal=Y","CapChg=Y","Fill=P","Days=A")</f>
        <v/>
      </c>
      <c r="BG4">
        <f>BDH(Universe!B31,"PX_LAST",Control!$B$2,Control!$B$3,"Dir=V","Dts=S","Sort=A","CshAdjNormal=Y","CshAdjAbnormal=Y","CapChg=Y","Fill=P","Days=A")</f>
        <v/>
      </c>
      <c r="BI4">
        <f>BDH(Universe!B32,"PX_LAST",Control!$B$2,Control!$B$3,"Dir=V","Dts=S","Sort=A","CshAdjNormal=Y","CshAdjAbnormal=Y","CapChg=Y","Fill=P","Days=A")</f>
        <v/>
      </c>
      <c r="BK4">
        <f>BDH(Universe!B33,"PX_LAST",Control!$B$2,Control!$B$3,"Dir=V","Dts=S","Sort=A","CshAdjNormal=Y","CshAdjAbnormal=Y","CapChg=Y","Fill=P","Days=A")</f>
        <v/>
      </c>
      <c r="BM4">
        <f>BDH(Universe!B34,"PX_LAST",Control!$B$2,Control!$B$3,"Dir=V","Dts=S","Sort=A","CshAdjNormal=Y","CshAdjAbnormal=Y","CapChg=Y","Fill=P","Days=A")</f>
        <v/>
      </c>
      <c r="BO4">
        <f>BDH(Universe!B35,"PX_LAST",Control!$B$2,Control!$B$3,"Dir=V","Dts=S","Sort=A","CshAdjNormal=Y","CshAdjAbnormal=Y","CapChg=Y","Fill=P","Days=A")</f>
        <v/>
      </c>
      <c r="BQ4">
        <f>BDH(Universe!B36,"PX_LAST",Control!$B$2,Control!$B$3,"Dir=V","Dts=S","Sort=A","CshAdjNormal=Y","CshAdjAbnormal=Y","CapChg=Y","Fill=P","Days=A")</f>
        <v/>
      </c>
      <c r="BS4">
        <f>BDH(Universe!B37,"PX_LAST",Control!$B$2,Control!$B$3,"Dir=V","Dts=S","Sort=A","CshAdjNormal=Y","CshAdjAbnormal=Y","CapChg=Y","Fill=P","Days=A")</f>
        <v/>
      </c>
      <c r="BU4">
        <f>BDH(Universe!B38,"PX_LAST",Control!$B$2,Control!$B$3,"Dir=V","Dts=S","Sort=A","CshAdjNormal=Y","CshAdjAbnormal=Y","CapChg=Y","Fill=P","Days=A")</f>
        <v/>
      </c>
      <c r="BW4">
        <f>BDH(Universe!B39,"PX_LAST",Control!$B$2,Control!$B$3,"Dir=V","Dts=S","Sort=A","CshAdjNormal=Y","CshAdjAbnormal=Y","CapChg=Y","Fill=P","Days=A")</f>
        <v/>
      </c>
      <c r="BY4">
        <f>BDH(Universe!B40,"PX_LAST",Control!$B$2,Control!$B$3,"Dir=V","Dts=S","Sort=A","CshAdjNormal=Y","CshAdjAbnormal=Y","CapChg=Y","Fill=P","Days=A")</f>
        <v/>
      </c>
      <c r="CA4">
        <f>BDH(Universe!B41,"PX_LAST",Control!$B$2,Control!$B$3,"Dir=V","Dts=S","Sort=A","CshAdjNormal=Y","CshAdjAbnormal=Y","CapChg=Y","Fill=P","Days=A")</f>
        <v/>
      </c>
      <c r="CC4">
        <f>BDH(Universe!B42,"PX_LAST",Control!$B$2,Control!$B$3,"Dir=V","Dts=S","Sort=A","CshAdjNormal=Y","CshAdjAbnormal=Y","CapChg=Y","Fill=P","Days=A")</f>
        <v/>
      </c>
      <c r="CE4">
        <f>BDH(Universe!B43,"PX_LAST",Control!$B$2,Control!$B$3,"Dir=V","Dts=S","Sort=A","CshAdjNormal=Y","CshAdjAbnormal=Y","CapChg=Y","Fill=P","Days=A")</f>
        <v/>
      </c>
      <c r="CG4">
        <f>BDH(Universe!B44,"PX_LAST",Control!$B$2,Control!$B$3,"Dir=V","Dts=S","Sort=A","CshAdjNormal=Y","CshAdjAbnormal=Y","CapChg=Y","Fill=P","Days=A")</f>
        <v/>
      </c>
      <c r="CI4">
        <f>BDH(Universe!B45,"PX_LAST",Control!$B$2,Control!$B$3,"Dir=V","Dts=S","Sort=A","CshAdjNormal=Y","CshAdjAbnormal=Y","CapChg=Y","Fill=P","Days=A")</f>
        <v/>
      </c>
      <c r="CK4">
        <f>BDH(Universe!B46,"PX_LAST",Control!$B$2,Control!$B$3,"Dir=V","Dts=S","Sort=A","CshAdjNormal=Y","CshAdjAbnormal=Y","CapChg=Y","Fill=P","Days=A")</f>
        <v/>
      </c>
      <c r="CM4">
        <f>BDH(Universe!B47,"PX_LAST",Control!$B$2,Control!$B$3,"Dir=V","Dts=S","Sort=A","CshAdjNormal=Y","CshAdjAbnormal=Y","CapChg=Y","Fill=P","Days=A")</f>
        <v/>
      </c>
      <c r="CO4">
        <f>BDH(Universe!B48,"PX_LAST",Control!$B$2,Control!$B$3,"Dir=V","Dts=S","Sort=A","CshAdjNormal=Y","CshAdjAbnormal=Y","CapChg=Y","Fill=P","Days=A")</f>
        <v/>
      </c>
      <c r="CQ4">
        <f>BDH(Universe!B49,"PX_LAST",Control!$B$2,Control!$B$3,"Dir=V","Dts=S","Sort=A","CshAdjNormal=Y","CshAdjAbnormal=Y","CapChg=Y","Fill=P","Days=A")</f>
        <v/>
      </c>
      <c r="CS4">
        <f>BDH(Universe!B50,"PX_LAST",Control!$B$2,Control!$B$3,"Dir=V","Dts=S","Sort=A","CshAdjNormal=Y","CshAdjAbnormal=Y","CapChg=Y","Fill=P","Days=A")</f>
        <v/>
      </c>
      <c r="CU4">
        <f>BDH(Universe!B51,"PX_LAST",Control!$B$2,Control!$B$3,"Dir=V","Dts=S","Sort=A","CshAdjNormal=Y","CshAdjAbnormal=Y","CapChg=Y","Fill=P","Days=A")</f>
        <v/>
      </c>
      <c r="CW4">
        <f>BDH(Universe!B52,"PX_LAST",Control!$B$2,Control!$B$3,"Dir=V","Dts=S","Sort=A","CshAdjNormal=Y","CshAdjAbnormal=Y","CapChg=Y","Fill=P","Days=A")</f>
        <v/>
      </c>
      <c r="CY4">
        <f>BDH(Universe!B53,"PX_LAST",Control!$B$2,Control!$B$3,"Dir=V","Dts=S","Sort=A","CshAdjNormal=Y","CshAdjAbnormal=Y","CapChg=Y","Fill=P","Days=A")</f>
        <v/>
      </c>
      <c r="DA4">
        <f>BDH(Universe!B54,"PX_LAST",Control!$B$2,Control!$B$3,"Dir=V","Dts=S","Sort=A","CshAdjNormal=Y","CshAdjAbnormal=Y","CapChg=Y","Fill=P","Days=A")</f>
        <v/>
      </c>
      <c r="DC4">
        <f>BDH(Universe!B55,"PX_LAST",Control!$B$2,Control!$B$3,"Dir=V","Dts=S","Sort=A","CshAdjNormal=Y","CshAdjAbnormal=Y","CapChg=Y","Fill=P","Days=A")</f>
        <v/>
      </c>
      <c r="DE4">
        <f>BDH(Universe!B56,"PX_LAST",Control!$B$2,Control!$B$3,"Dir=V","Dts=S","Sort=A","CshAdjNormal=Y","CshAdjAbnormal=Y","CapChg=Y","Fill=P","Days=A")</f>
        <v/>
      </c>
      <c r="DG4">
        <f>BDH(Universe!B57,"PX_LAST",Control!$B$2,Control!$B$3,"Dir=V","Dts=S","Sort=A","CshAdjNormal=Y","CshAdjAbnormal=Y","CapChg=Y","Fill=P","Days=A")</f>
        <v/>
      </c>
      <c r="DI4">
        <f>BDH(Universe!B58,"PX_LAST",Control!$B$2,Control!$B$3,"Dir=V","Dts=S","Sort=A","CshAdjNormal=Y","CshAdjAbnormal=Y","CapChg=Y","Fill=P","Days=A")</f>
        <v/>
      </c>
      <c r="DK4">
        <f>BDH(Universe!B59,"PX_LAST",Control!$B$2,Control!$B$3,"Dir=V","Dts=S","Sort=A","CshAdjNormal=Y","CshAdjAbnormal=Y","CapChg=Y","Fill=P","Days=A")</f>
        <v/>
      </c>
      <c r="DM4">
        <f>BDH(Universe!B60,"PX_LAST",Control!$B$2,Control!$B$3,"Dir=V","Dts=S","Sort=A","CshAdjNormal=Y","CshAdjAbnormal=Y","CapChg=Y","Fill=P","Days=A")</f>
        <v/>
      </c>
      <c r="DO4">
        <f>BDH(Universe!B61,"PX_LAST",Control!$B$2,Control!$B$3,"Dir=V","Dts=S","Sort=A","CshAdjNormal=Y","CshAdjAbnormal=Y","CapChg=Y","Fill=P","Days=A")</f>
        <v/>
      </c>
      <c r="DQ4">
        <f>BDH(Universe!B62,"PX_LAST",Control!$B$2,Control!$B$3,"Dir=V","Dts=S","Sort=A","CshAdjNormal=Y","CshAdjAbnormal=Y","CapChg=Y","Fill=P","Days=A")</f>
        <v/>
      </c>
      <c r="DS4">
        <f>BDH(Universe!B63,"PX_LAST",Control!$B$2,Control!$B$3,"Dir=V","Dts=S","Sort=A","CshAdjNormal=Y","CshAdjAbnormal=Y","CapChg=Y","Fill=P","Days=A")</f>
        <v/>
      </c>
      <c r="DU4">
        <f>BDH(Universe!B64,"PX_LAST",Control!$B$2,Control!$B$3,"Dir=V","Dts=S","Sort=A","CshAdjNormal=Y","CshAdjAbnormal=Y","CapChg=Y","Fill=P","Days=A")</f>
        <v/>
      </c>
      <c r="DW4">
        <f>BDH(Universe!B65,"PX_LAST",Control!$B$2,Control!$B$3,"Dir=V","Dts=S","Sort=A","CshAdjNormal=Y","CshAdjAbnormal=Y","CapChg=Y","Fill=P","Days=A")</f>
        <v/>
      </c>
      <c r="DY4">
        <f>BDH(Universe!B66,"PX_LAST",Control!$B$2,Control!$B$3,"Dir=V","Dts=S","Sort=A","CshAdjNormal=Y","CshAdjAbnormal=Y","CapChg=Y","Fill=P","Days=A")</f>
        <v/>
      </c>
      <c r="EA4">
        <f>BDH(Universe!B67,"PX_LAST",Control!$B$2,Control!$B$3,"Dir=V","Dts=S","Sort=A","CshAdjNormal=Y","CshAdjAbnormal=Y","CapChg=Y","Fill=P","Days=A")</f>
        <v/>
      </c>
      <c r="EC4">
        <f>BDH(Universe!B68,"PX_LAST",Control!$B$2,Control!$B$3,"Dir=V","Dts=S","Sort=A","CshAdjNormal=Y","CshAdjAbnormal=Y","CapChg=Y","Fill=P","Days=A")</f>
        <v/>
      </c>
      <c r="EE4">
        <f>BDH(Universe!B69,"PX_LAST",Control!$B$2,Control!$B$3,"Dir=V","Dts=S","Sort=A","CshAdjNormal=Y","CshAdjAbnormal=Y","CapChg=Y","Fill=P","Days=A")</f>
        <v/>
      </c>
      <c r="EG4">
        <f>BDH(Universe!B70,"PX_LAST",Control!$B$2,Control!$B$3,"Dir=V","Dts=S","Sort=A","CshAdjNormal=Y","CshAdjAbnormal=Y","CapChg=Y","Fill=P","Days=A")</f>
        <v/>
      </c>
      <c r="EI4">
        <f>BDH(Universe!B71,"PX_LAST",Control!$B$2,Control!$B$3,"Dir=V","Dts=S","Sort=A","CshAdjNormal=Y","CshAdjAbnormal=Y","CapChg=Y","Fill=P","Days=A")</f>
        <v/>
      </c>
      <c r="EK4">
        <f>BDH(Universe!B72,"PX_LAST",Control!$B$2,Control!$B$3,"Dir=V","Dts=S","Sort=A","CshAdjNormal=Y","CshAdjAbnormal=Y","CapChg=Y","Fill=P","Days=A")</f>
        <v/>
      </c>
      <c r="EM4">
        <f>BDH(Universe!B73,"PX_LAST",Control!$B$2,Control!$B$3,"Dir=V","Dts=S","Sort=A","CshAdjNormal=Y","CshAdjAbnormal=Y","CapChg=Y","Fill=P","Days=A")</f>
        <v/>
      </c>
      <c r="EO4">
        <f>BDH(Universe!B74,"PX_LAST",Control!$B$2,Control!$B$3,"Dir=V","Dts=S","Sort=A","CshAdjNormal=Y","CshAdjAbnormal=Y","CapChg=Y","Fill=P","Days=A")</f>
        <v/>
      </c>
      <c r="EQ4">
        <f>BDH(Universe!B75,"PX_LAST",Control!$B$2,Control!$B$3,"Dir=V","Dts=S","Sort=A","CshAdjNormal=Y","CshAdjAbnormal=Y","CapChg=Y","Fill=P","Days=A")</f>
        <v/>
      </c>
      <c r="ES4">
        <f>BDH(Universe!B76,"PX_LAST",Control!$B$2,Control!$B$3,"Dir=V","Dts=S","Sort=A","CshAdjNormal=Y","CshAdjAbnormal=Y","CapChg=Y","Fill=P","Days=A")</f>
        <v/>
      </c>
      <c r="EU4">
        <f>BDH(Universe!B77,"PX_LAST",Control!$B$2,Control!$B$3,"Dir=V","Dts=S","Sort=A","CshAdjNormal=Y","CshAdjAbnormal=Y","CapChg=Y","Fill=P","Days=A")</f>
        <v/>
      </c>
      <c r="EW4">
        <f>BDH(Universe!B78,"PX_LAST",Control!$B$2,Control!$B$3,"Dir=V","Dts=S","Sort=A","CshAdjNormal=Y","CshAdjAbnormal=Y","CapChg=Y","Fill=P","Days=A")</f>
        <v/>
      </c>
      <c r="EY4">
        <f>BDH(Universe!B79,"PX_LAST",Control!$B$2,Control!$B$3,"Dir=V","Dts=S","Sort=A","CshAdjNormal=Y","CshAdjAbnormal=Y","CapChg=Y","Fill=P","Days=A")</f>
        <v/>
      </c>
      <c r="FA4">
        <f>BDH(Universe!B80,"PX_LAST",Control!$B$2,Control!$B$3,"Dir=V","Dts=S","Sort=A","CshAdjNormal=Y","CshAdjAbnormal=Y","CapChg=Y","Fill=P","Days=A")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12" customWidth="1" min="5" max="5"/>
  </cols>
  <sheetData>
    <row r="1">
      <c r="A1" s="5" t="inlineStr">
        <is>
          <t>YahooTicker</t>
        </is>
      </c>
      <c r="B1" s="5" t="inlineStr">
        <is>
          <t>BloombergTicker</t>
        </is>
      </c>
      <c r="C1" s="5" t="inlineStr">
        <is>
          <t>StartCol</t>
        </is>
      </c>
      <c r="D1" s="5" t="inlineStr">
        <is>
          <t>ExcelCol</t>
        </is>
      </c>
      <c r="E1" s="5" t="inlineStr">
        <is>
          <t>BDH_Cell</t>
        </is>
      </c>
    </row>
    <row r="2">
      <c r="A2" t="inlineStr">
        <is>
          <t>D05.SI</t>
        </is>
      </c>
      <c r="B2" t="inlineStr">
        <is>
          <t>D05 SP Equity</t>
        </is>
      </c>
      <c r="C2" t="n">
        <v>1</v>
      </c>
      <c r="D2" t="inlineStr">
        <is>
          <t>A</t>
        </is>
      </c>
      <c r="E2" t="inlineStr">
        <is>
          <t>A4</t>
        </is>
      </c>
    </row>
    <row r="3">
      <c r="A3" t="inlineStr">
        <is>
          <t>O39.SI</t>
        </is>
      </c>
      <c r="B3" t="inlineStr">
        <is>
          <t>O39 SP Equity</t>
        </is>
      </c>
      <c r="C3" t="n">
        <v>3</v>
      </c>
      <c r="D3" t="inlineStr">
        <is>
          <t>C</t>
        </is>
      </c>
      <c r="E3" t="inlineStr">
        <is>
          <t>C4</t>
        </is>
      </c>
    </row>
    <row r="4">
      <c r="A4" t="inlineStr">
        <is>
          <t>Z74.SI</t>
        </is>
      </c>
      <c r="B4" t="inlineStr">
        <is>
          <t>Z74 SP Equity</t>
        </is>
      </c>
      <c r="C4" t="n">
        <v>5</v>
      </c>
      <c r="D4" t="inlineStr">
        <is>
          <t>E</t>
        </is>
      </c>
      <c r="E4" t="inlineStr">
        <is>
          <t>E4</t>
        </is>
      </c>
    </row>
    <row r="5">
      <c r="A5" t="inlineStr">
        <is>
          <t>U11.SI</t>
        </is>
      </c>
      <c r="B5" t="inlineStr">
        <is>
          <t>U11 SP Equity</t>
        </is>
      </c>
      <c r="C5" t="n">
        <v>7</v>
      </c>
      <c r="D5" t="inlineStr">
        <is>
          <t>G</t>
        </is>
      </c>
      <c r="E5" t="inlineStr">
        <is>
          <t>G4</t>
        </is>
      </c>
    </row>
    <row r="6">
      <c r="A6" t="inlineStr">
        <is>
          <t>S63.SI</t>
        </is>
      </c>
      <c r="B6" t="inlineStr">
        <is>
          <t>S63 SP Equity</t>
        </is>
      </c>
      <c r="C6" t="n">
        <v>9</v>
      </c>
      <c r="D6" t="inlineStr">
        <is>
          <t>I</t>
        </is>
      </c>
      <c r="E6" t="inlineStr">
        <is>
          <t>I4</t>
        </is>
      </c>
    </row>
    <row r="7">
      <c r="A7" t="inlineStr">
        <is>
          <t>S68.SI</t>
        </is>
      </c>
      <c r="B7" t="inlineStr">
        <is>
          <t>S68 SP Equity</t>
        </is>
      </c>
      <c r="C7" t="n">
        <v>11</v>
      </c>
      <c r="D7" t="inlineStr">
        <is>
          <t>K</t>
        </is>
      </c>
      <c r="E7" t="inlineStr">
        <is>
          <t>K4</t>
        </is>
      </c>
    </row>
    <row r="8">
      <c r="A8" t="inlineStr">
        <is>
          <t>J36.SI</t>
        </is>
      </c>
      <c r="B8" t="inlineStr">
        <is>
          <t>J36 SP Equity</t>
        </is>
      </c>
      <c r="C8" t="n">
        <v>13</v>
      </c>
      <c r="D8" t="inlineStr">
        <is>
          <t>M</t>
        </is>
      </c>
      <c r="E8" t="inlineStr">
        <is>
          <t>M4</t>
        </is>
      </c>
    </row>
    <row r="9">
      <c r="A9" t="inlineStr">
        <is>
          <t>C6L.SI</t>
        </is>
      </c>
      <c r="B9" t="inlineStr">
        <is>
          <t>C6L SP Equity</t>
        </is>
      </c>
      <c r="C9" t="n">
        <v>15</v>
      </c>
      <c r="D9" t="inlineStr">
        <is>
          <t>O</t>
        </is>
      </c>
      <c r="E9" t="inlineStr">
        <is>
          <t>O4</t>
        </is>
      </c>
    </row>
    <row r="10">
      <c r="A10" t="inlineStr">
        <is>
          <t>F34.SI</t>
        </is>
      </c>
      <c r="B10" t="inlineStr">
        <is>
          <t>F34 SP Equity</t>
        </is>
      </c>
      <c r="C10" t="n">
        <v>17</v>
      </c>
      <c r="D10" t="inlineStr">
        <is>
          <t>Q</t>
        </is>
      </c>
      <c r="E10" t="inlineStr">
        <is>
          <t>Q4</t>
        </is>
      </c>
    </row>
    <row r="11">
      <c r="A11" t="inlineStr">
        <is>
          <t>H78.SI</t>
        </is>
      </c>
      <c r="B11" t="inlineStr">
        <is>
          <t>H78 SP Equity</t>
        </is>
      </c>
      <c r="C11" t="n">
        <v>19</v>
      </c>
      <c r="D11" t="inlineStr">
        <is>
          <t>S</t>
        </is>
      </c>
      <c r="E11" t="inlineStr">
        <is>
          <t>S4</t>
        </is>
      </c>
    </row>
    <row r="12">
      <c r="A12" t="inlineStr">
        <is>
          <t>BN4.SI</t>
        </is>
      </c>
      <c r="B12" t="inlineStr">
        <is>
          <t>BN4 SP Equity</t>
        </is>
      </c>
      <c r="C12" t="n">
        <v>21</v>
      </c>
      <c r="D12" t="inlineStr">
        <is>
          <t>U</t>
        </is>
      </c>
      <c r="E12" t="inlineStr">
        <is>
          <t>U4</t>
        </is>
      </c>
    </row>
    <row r="13">
      <c r="A13" t="inlineStr">
        <is>
          <t>C38U.SI</t>
        </is>
      </c>
      <c r="B13" t="inlineStr">
        <is>
          <t>C38U SP Equity</t>
        </is>
      </c>
      <c r="C13" t="n">
        <v>23</v>
      </c>
      <c r="D13" t="inlineStr">
        <is>
          <t>W</t>
        </is>
      </c>
      <c r="E13" t="inlineStr">
        <is>
          <t>W4</t>
        </is>
      </c>
    </row>
    <row r="14">
      <c r="A14" t="inlineStr">
        <is>
          <t>U14.SI</t>
        </is>
      </c>
      <c r="B14" t="inlineStr">
        <is>
          <t>U14 SP Equity</t>
        </is>
      </c>
      <c r="C14" t="n">
        <v>25</v>
      </c>
      <c r="D14" t="inlineStr">
        <is>
          <t>Y</t>
        </is>
      </c>
      <c r="E14" t="inlineStr">
        <is>
          <t>Y4</t>
        </is>
      </c>
    </row>
    <row r="15">
      <c r="A15" t="inlineStr">
        <is>
          <t>5E2.SI</t>
        </is>
      </c>
      <c r="B15" t="inlineStr">
        <is>
          <t>5E2 SP Equity</t>
        </is>
      </c>
      <c r="C15" t="n">
        <v>27</v>
      </c>
      <c r="D15" t="inlineStr">
        <is>
          <t>AA</t>
        </is>
      </c>
      <c r="E15" t="inlineStr">
        <is>
          <t>AA4</t>
        </is>
      </c>
    </row>
    <row r="16">
      <c r="A16" t="inlineStr">
        <is>
          <t>G13.SI</t>
        </is>
      </c>
      <c r="B16" t="inlineStr">
        <is>
          <t>G13 SP Equity</t>
        </is>
      </c>
      <c r="C16" t="n">
        <v>29</v>
      </c>
      <c r="D16" t="inlineStr">
        <is>
          <t>AC</t>
        </is>
      </c>
      <c r="E16" t="inlineStr">
        <is>
          <t>AC4</t>
        </is>
      </c>
    </row>
    <row r="17">
      <c r="A17" t="inlineStr">
        <is>
          <t>S58.SI</t>
        </is>
      </c>
      <c r="B17" t="inlineStr">
        <is>
          <t>S58 SP Equity</t>
        </is>
      </c>
      <c r="C17" t="n">
        <v>31</v>
      </c>
      <c r="D17" t="inlineStr">
        <is>
          <t>AE</t>
        </is>
      </c>
      <c r="E17" t="inlineStr">
        <is>
          <t>AE4</t>
        </is>
      </c>
    </row>
    <row r="18">
      <c r="A18" t="inlineStr">
        <is>
          <t>N2IU.SI</t>
        </is>
      </c>
      <c r="B18" t="inlineStr">
        <is>
          <t>N2IU SP Equity</t>
        </is>
      </c>
      <c r="C18" t="n">
        <v>33</v>
      </c>
      <c r="D18" t="inlineStr">
        <is>
          <t>AG</t>
        </is>
      </c>
      <c r="E18" t="inlineStr">
        <is>
          <t>AG4</t>
        </is>
      </c>
    </row>
    <row r="19">
      <c r="A19" t="inlineStr">
        <is>
          <t>C09.SI</t>
        </is>
      </c>
      <c r="B19" t="inlineStr">
        <is>
          <t>C09 SP Equity</t>
        </is>
      </c>
      <c r="C19" t="n">
        <v>35</v>
      </c>
      <c r="D19" t="inlineStr">
        <is>
          <t>AI</t>
        </is>
      </c>
      <c r="E19" t="inlineStr">
        <is>
          <t>AI4</t>
        </is>
      </c>
    </row>
    <row r="20">
      <c r="A20" t="inlineStr">
        <is>
          <t>D01.SI</t>
        </is>
      </c>
      <c r="B20" t="inlineStr">
        <is>
          <t>D01 SP Equity</t>
        </is>
      </c>
      <c r="C20" t="n">
        <v>37</v>
      </c>
      <c r="D20" t="inlineStr">
        <is>
          <t>AK</t>
        </is>
      </c>
      <c r="E20" t="inlineStr">
        <is>
          <t>AK4</t>
        </is>
      </c>
    </row>
    <row r="21">
      <c r="A21" t="inlineStr">
        <is>
          <t>M44U.SI</t>
        </is>
      </c>
      <c r="B21" t="inlineStr">
        <is>
          <t>M44U SP Equity</t>
        </is>
      </c>
      <c r="C21" t="n">
        <v>39</v>
      </c>
      <c r="D21" t="inlineStr">
        <is>
          <t>AM</t>
        </is>
      </c>
      <c r="E21" t="inlineStr">
        <is>
          <t>AM4</t>
        </is>
      </c>
    </row>
    <row r="22">
      <c r="A22" t="inlineStr">
        <is>
          <t>EB5.SI</t>
        </is>
      </c>
      <c r="B22" t="inlineStr">
        <is>
          <t>EB5 SP Equity</t>
        </is>
      </c>
      <c r="C22" t="n">
        <v>41</v>
      </c>
      <c r="D22" t="inlineStr">
        <is>
          <t>AO</t>
        </is>
      </c>
      <c r="E22" t="inlineStr">
        <is>
          <t>AO4</t>
        </is>
      </c>
    </row>
    <row r="23">
      <c r="A23" t="inlineStr">
        <is>
          <t>ME8U.SI</t>
        </is>
      </c>
      <c r="B23" t="inlineStr">
        <is>
          <t>ME8U SP Equity</t>
        </is>
      </c>
      <c r="C23" t="n">
        <v>43</v>
      </c>
      <c r="D23" t="inlineStr">
        <is>
          <t>AQ</t>
        </is>
      </c>
      <c r="E23" t="inlineStr">
        <is>
          <t>AQ4</t>
        </is>
      </c>
    </row>
    <row r="24">
      <c r="A24" t="inlineStr">
        <is>
          <t>AJBU.SI</t>
        </is>
      </c>
      <c r="B24" t="inlineStr">
        <is>
          <t>AJBU SP Equity</t>
        </is>
      </c>
      <c r="C24" t="n">
        <v>45</v>
      </c>
      <c r="D24" t="inlineStr">
        <is>
          <t>AS</t>
        </is>
      </c>
      <c r="E24" t="inlineStr">
        <is>
          <t>AS4</t>
        </is>
      </c>
    </row>
    <row r="25">
      <c r="A25" t="inlineStr">
        <is>
          <t>VC2.SI</t>
        </is>
      </c>
      <c r="B25" t="inlineStr">
        <is>
          <t>VC2 SP Equity</t>
        </is>
      </c>
      <c r="C25" t="n">
        <v>47</v>
      </c>
      <c r="D25" t="inlineStr">
        <is>
          <t>AU</t>
        </is>
      </c>
      <c r="E25" t="inlineStr">
        <is>
          <t>AU4</t>
        </is>
      </c>
    </row>
    <row r="26">
      <c r="A26" t="inlineStr">
        <is>
          <t>U06.SI</t>
        </is>
      </c>
      <c r="B26" t="inlineStr">
        <is>
          <t>U06 SP Equity</t>
        </is>
      </c>
      <c r="C26" t="n">
        <v>49</v>
      </c>
      <c r="D26" t="inlineStr">
        <is>
          <t>AW</t>
        </is>
      </c>
      <c r="E26" t="inlineStr">
        <is>
          <t>AW4</t>
        </is>
      </c>
    </row>
    <row r="27">
      <c r="A27" t="inlineStr">
        <is>
          <t>OV8.SI</t>
        </is>
      </c>
      <c r="B27" t="inlineStr">
        <is>
          <t>OV8 SP Equity</t>
        </is>
      </c>
      <c r="C27" t="n">
        <v>51</v>
      </c>
      <c r="D27" t="inlineStr">
        <is>
          <t>AY</t>
        </is>
      </c>
      <c r="E27" t="inlineStr">
        <is>
          <t>AY4</t>
        </is>
      </c>
    </row>
    <row r="28">
      <c r="A28" t="inlineStr">
        <is>
          <t>V03.SI</t>
        </is>
      </c>
      <c r="B28" t="inlineStr">
        <is>
          <t>V03 SP Equity</t>
        </is>
      </c>
      <c r="C28" t="n">
        <v>53</v>
      </c>
      <c r="D28" t="inlineStr">
        <is>
          <t>BA</t>
        </is>
      </c>
      <c r="E28" t="inlineStr">
        <is>
          <t>BA4</t>
        </is>
      </c>
    </row>
    <row r="29">
      <c r="A29" t="inlineStr">
        <is>
          <t>J69U.SI</t>
        </is>
      </c>
      <c r="B29" t="inlineStr">
        <is>
          <t>J69U SP Equity</t>
        </is>
      </c>
      <c r="C29" t="n">
        <v>55</v>
      </c>
      <c r="D29" t="inlineStr">
        <is>
          <t>BC</t>
        </is>
      </c>
      <c r="E29" t="inlineStr">
        <is>
          <t>BC4</t>
        </is>
      </c>
    </row>
    <row r="30">
      <c r="A30" t="inlineStr">
        <is>
          <t>T82U.SI</t>
        </is>
      </c>
      <c r="B30" t="inlineStr">
        <is>
          <t>T82U SP Equity</t>
        </is>
      </c>
      <c r="C30" t="n">
        <v>57</v>
      </c>
      <c r="D30" t="inlineStr">
        <is>
          <t>BE</t>
        </is>
      </c>
      <c r="E30" t="inlineStr">
        <is>
          <t>BE4</t>
        </is>
      </c>
    </row>
    <row r="31">
      <c r="A31" t="inlineStr">
        <is>
          <t>K71U.SI</t>
        </is>
      </c>
      <c r="B31" t="inlineStr">
        <is>
          <t>K71U SP Equity</t>
        </is>
      </c>
      <c r="C31" t="n">
        <v>59</v>
      </c>
      <c r="D31" t="inlineStr">
        <is>
          <t>BG</t>
        </is>
      </c>
      <c r="E31" t="inlineStr">
        <is>
          <t>BG4</t>
        </is>
      </c>
    </row>
    <row r="32">
      <c r="A32" t="inlineStr">
        <is>
          <t>U10.SI</t>
        </is>
      </c>
      <c r="B32" t="inlineStr">
        <is>
          <t>U10 SP Equity</t>
        </is>
      </c>
      <c r="C32" t="n">
        <v>61</v>
      </c>
      <c r="D32" t="inlineStr">
        <is>
          <t>BI</t>
        </is>
      </c>
      <c r="E32" t="inlineStr">
        <is>
          <t>BI4</t>
        </is>
      </c>
    </row>
    <row r="33">
      <c r="A33" t="inlineStr">
        <is>
          <t>TQ5.SI</t>
        </is>
      </c>
      <c r="B33" t="inlineStr">
        <is>
          <t>TQ5 SP Equity</t>
        </is>
      </c>
      <c r="C33" t="n">
        <v>63</v>
      </c>
      <c r="D33" t="inlineStr">
        <is>
          <t>BK</t>
        </is>
      </c>
      <c r="E33" t="inlineStr">
        <is>
          <t>BK4</t>
        </is>
      </c>
    </row>
    <row r="34">
      <c r="A34" t="inlineStr">
        <is>
          <t>CJL.SI</t>
        </is>
      </c>
      <c r="B34" t="inlineStr">
        <is>
          <t>CJL SP Equity</t>
        </is>
      </c>
      <c r="C34" t="n">
        <v>65</v>
      </c>
      <c r="D34" t="inlineStr">
        <is>
          <t>BM</t>
        </is>
      </c>
      <c r="E34" t="inlineStr">
        <is>
          <t>BM4</t>
        </is>
      </c>
    </row>
    <row r="35">
      <c r="A35" t="inlineStr">
        <is>
          <t>BUOU.SI</t>
        </is>
      </c>
      <c r="B35" t="inlineStr">
        <is>
          <t>BUOU SP Equity</t>
        </is>
      </c>
      <c r="C35" t="n">
        <v>67</v>
      </c>
      <c r="D35" t="inlineStr">
        <is>
          <t>BO</t>
        </is>
      </c>
      <c r="E35" t="inlineStr">
        <is>
          <t>BO4</t>
        </is>
      </c>
    </row>
    <row r="36">
      <c r="A36" t="inlineStr">
        <is>
          <t>S59.SI</t>
        </is>
      </c>
      <c r="B36" t="inlineStr">
        <is>
          <t>S59 SP Equity</t>
        </is>
      </c>
      <c r="C36" t="n">
        <v>69</v>
      </c>
      <c r="D36" t="inlineStr">
        <is>
          <t>BQ</t>
        </is>
      </c>
      <c r="E36" t="inlineStr">
        <is>
          <t>BQ4</t>
        </is>
      </c>
    </row>
    <row r="37">
      <c r="A37" t="inlineStr">
        <is>
          <t>E5H.SI</t>
        </is>
      </c>
      <c r="B37" t="inlineStr">
        <is>
          <t>E5H SP Equity</t>
        </is>
      </c>
      <c r="C37" t="n">
        <v>71</v>
      </c>
      <c r="D37" t="inlineStr">
        <is>
          <t>BS</t>
        </is>
      </c>
      <c r="E37" t="inlineStr">
        <is>
          <t>BS4</t>
        </is>
      </c>
    </row>
    <row r="38">
      <c r="A38" t="inlineStr">
        <is>
          <t>H02.SI</t>
        </is>
      </c>
      <c r="B38" t="inlineStr">
        <is>
          <t>H02 SP Equity</t>
        </is>
      </c>
      <c r="C38" t="n">
        <v>73</v>
      </c>
      <c r="D38" t="inlineStr">
        <is>
          <t>BU</t>
        </is>
      </c>
      <c r="E38" t="inlineStr">
        <is>
          <t>BU4</t>
        </is>
      </c>
    </row>
    <row r="39">
      <c r="A39" t="inlineStr">
        <is>
          <t>HMN.SI</t>
        </is>
      </c>
      <c r="B39" t="inlineStr">
        <is>
          <t>HMN SP Equity</t>
        </is>
      </c>
      <c r="C39" t="n">
        <v>75</v>
      </c>
      <c r="D39" t="inlineStr">
        <is>
          <t>BW</t>
        </is>
      </c>
      <c r="E39" t="inlineStr">
        <is>
          <t>BW4</t>
        </is>
      </c>
    </row>
    <row r="40">
      <c r="A40" t="inlineStr">
        <is>
          <t>A7RU.SI</t>
        </is>
      </c>
      <c r="B40" t="inlineStr">
        <is>
          <t>A7RU SP Equity</t>
        </is>
      </c>
      <c r="C40" t="n">
        <v>77</v>
      </c>
      <c r="D40" t="inlineStr">
        <is>
          <t>BY</t>
        </is>
      </c>
      <c r="E40" t="inlineStr">
        <is>
          <t>BY4</t>
        </is>
      </c>
    </row>
    <row r="41">
      <c r="A41" t="inlineStr">
        <is>
          <t>P8Z.SI</t>
        </is>
      </c>
      <c r="B41" t="inlineStr">
        <is>
          <t>P8Z SP Equity</t>
        </is>
      </c>
      <c r="C41" t="n">
        <v>79</v>
      </c>
      <c r="D41" t="inlineStr">
        <is>
          <t>CA</t>
        </is>
      </c>
      <c r="E41" t="inlineStr">
        <is>
          <t>CA4</t>
        </is>
      </c>
    </row>
    <row r="42">
      <c r="A42" t="inlineStr">
        <is>
          <t>C52.SI</t>
        </is>
      </c>
      <c r="B42" t="inlineStr">
        <is>
          <t>C52 SP Equity</t>
        </is>
      </c>
      <c r="C42" t="n">
        <v>81</v>
      </c>
      <c r="D42" t="inlineStr">
        <is>
          <t>CC</t>
        </is>
      </c>
      <c r="E42" t="inlineStr">
        <is>
          <t>CC4</t>
        </is>
      </c>
    </row>
    <row r="43">
      <c r="A43" t="inlineStr">
        <is>
          <t>AWX.SI</t>
        </is>
      </c>
      <c r="B43" t="inlineStr">
        <is>
          <t>AWX SP Equity</t>
        </is>
      </c>
      <c r="C43" t="n">
        <v>83</v>
      </c>
      <c r="D43" t="inlineStr">
        <is>
          <t>CE</t>
        </is>
      </c>
      <c r="E43" t="inlineStr">
        <is>
          <t>CE4</t>
        </is>
      </c>
    </row>
    <row r="44">
      <c r="A44" t="inlineStr">
        <is>
          <t>AIY.SI</t>
        </is>
      </c>
      <c r="B44" t="inlineStr">
        <is>
          <t>AIY SP Equity</t>
        </is>
      </c>
      <c r="C44" t="n">
        <v>85</v>
      </c>
      <c r="D44" t="inlineStr">
        <is>
          <t>CG</t>
        </is>
      </c>
      <c r="E44" t="inlineStr">
        <is>
          <t>CG4</t>
        </is>
      </c>
    </row>
    <row r="45">
      <c r="A45" t="inlineStr">
        <is>
          <t>C2PU.SI</t>
        </is>
      </c>
      <c r="B45" t="inlineStr">
        <is>
          <t>C2PU SP Equity</t>
        </is>
      </c>
      <c r="C45" t="n">
        <v>87</v>
      </c>
      <c r="D45" t="inlineStr">
        <is>
          <t>CI</t>
        </is>
      </c>
      <c r="E45" t="inlineStr">
        <is>
          <t>CI4</t>
        </is>
      </c>
    </row>
    <row r="46">
      <c r="A46" t="inlineStr">
        <is>
          <t>F17.SI</t>
        </is>
      </c>
      <c r="B46" t="inlineStr">
        <is>
          <t>F17 SP Equity</t>
        </is>
      </c>
      <c r="C46" t="n">
        <v>89</v>
      </c>
      <c r="D46" t="inlineStr">
        <is>
          <t>CK</t>
        </is>
      </c>
      <c r="E46" t="inlineStr">
        <is>
          <t>CK4</t>
        </is>
      </c>
    </row>
    <row r="47">
      <c r="A47" t="inlineStr">
        <is>
          <t>H15.SI</t>
        </is>
      </c>
      <c r="B47" t="inlineStr">
        <is>
          <t>H15 SP Equity</t>
        </is>
      </c>
      <c r="C47" t="n">
        <v>91</v>
      </c>
      <c r="D47" t="inlineStr">
        <is>
          <t>CM</t>
        </is>
      </c>
      <c r="E47" t="inlineStr">
        <is>
          <t>CM4</t>
        </is>
      </c>
    </row>
    <row r="48">
      <c r="A48" t="inlineStr">
        <is>
          <t>H22.SI</t>
        </is>
      </c>
      <c r="B48" t="inlineStr">
        <is>
          <t>H22 SP Equity</t>
        </is>
      </c>
      <c r="C48" t="n">
        <v>93</v>
      </c>
      <c r="D48" t="inlineStr">
        <is>
          <t>CO</t>
        </is>
      </c>
      <c r="E48" t="inlineStr">
        <is>
          <t>CO4</t>
        </is>
      </c>
    </row>
    <row r="49">
      <c r="A49" t="inlineStr">
        <is>
          <t>558.SI</t>
        </is>
      </c>
      <c r="B49" t="inlineStr">
        <is>
          <t>558 SP Equity</t>
        </is>
      </c>
      <c r="C49" t="n">
        <v>95</v>
      </c>
      <c r="D49" t="inlineStr">
        <is>
          <t>CQ</t>
        </is>
      </c>
      <c r="E49" t="inlineStr">
        <is>
          <t>CQ4</t>
        </is>
      </c>
    </row>
    <row r="50">
      <c r="A50" t="inlineStr">
        <is>
          <t>NS8U.SI</t>
        </is>
      </c>
      <c r="B50" t="inlineStr">
        <is>
          <t>NS8U SP Equity</t>
        </is>
      </c>
      <c r="C50" t="n">
        <v>97</v>
      </c>
      <c r="D50" t="inlineStr">
        <is>
          <t>CS</t>
        </is>
      </c>
      <c r="E50" t="inlineStr">
        <is>
          <t>CS4</t>
        </is>
      </c>
    </row>
    <row r="51">
      <c r="A51" t="inlineStr">
        <is>
          <t>8Y.SI</t>
        </is>
      </c>
      <c r="B51" t="inlineStr">
        <is>
          <t>8Y SP Equity</t>
        </is>
      </c>
      <c r="C51" t="n">
        <v>99</v>
      </c>
      <c r="D51" t="inlineStr">
        <is>
          <t>CU</t>
        </is>
      </c>
      <c r="E51" t="inlineStr">
        <is>
          <t>CU4</t>
        </is>
      </c>
    </row>
    <row r="52">
      <c r="A52" t="inlineStr">
        <is>
          <t>F99.SI</t>
        </is>
      </c>
      <c r="B52" t="inlineStr">
        <is>
          <t>F99 SP Equity</t>
        </is>
      </c>
      <c r="C52" t="n">
        <v>101</v>
      </c>
      <c r="D52" t="inlineStr">
        <is>
          <t>CW</t>
        </is>
      </c>
      <c r="E52" t="inlineStr">
        <is>
          <t>CW4</t>
        </is>
      </c>
    </row>
    <row r="53">
      <c r="A53" t="inlineStr">
        <is>
          <t>TS0U.SI</t>
        </is>
      </c>
      <c r="B53" t="inlineStr">
        <is>
          <t>TS0U SP Equity</t>
        </is>
      </c>
      <c r="C53" t="n">
        <v>103</v>
      </c>
      <c r="D53" t="inlineStr">
        <is>
          <t>CY</t>
        </is>
      </c>
      <c r="E53" t="inlineStr">
        <is>
          <t>CY4</t>
        </is>
      </c>
    </row>
    <row r="54">
      <c r="A54" t="inlineStr">
        <is>
          <t>9A4U.SI</t>
        </is>
      </c>
      <c r="B54" t="inlineStr">
        <is>
          <t>9A4U SP Equity</t>
        </is>
      </c>
      <c r="C54" t="n">
        <v>105</v>
      </c>
      <c r="D54" t="inlineStr">
        <is>
          <t>DA</t>
        </is>
      </c>
      <c r="E54" t="inlineStr">
        <is>
          <t>DA4</t>
        </is>
      </c>
    </row>
    <row r="55">
      <c r="A55" t="inlineStr">
        <is>
          <t>8C8U.SI</t>
        </is>
      </c>
      <c r="B55" t="inlineStr">
        <is>
          <t>8C8U SP Equity</t>
        </is>
      </c>
      <c r="C55" t="n">
        <v>107</v>
      </c>
      <c r="D55" t="inlineStr">
        <is>
          <t>DC</t>
        </is>
      </c>
      <c r="E55" t="inlineStr">
        <is>
          <t>DC4</t>
        </is>
      </c>
    </row>
    <row r="56">
      <c r="A56" t="inlineStr">
        <is>
          <t>SEB.SI</t>
        </is>
      </c>
      <c r="B56" t="inlineStr">
        <is>
          <t>SEB SP Equity</t>
        </is>
      </c>
      <c r="C56" t="n">
        <v>109</v>
      </c>
      <c r="D56" t="inlineStr">
        <is>
          <t>DE</t>
        </is>
      </c>
      <c r="E56" t="inlineStr">
        <is>
          <t>DE4</t>
        </is>
      </c>
    </row>
    <row r="57">
      <c r="A57" t="inlineStr">
        <is>
          <t>Z25.SI</t>
        </is>
      </c>
      <c r="B57" t="inlineStr">
        <is>
          <t>Z25 SP Equity</t>
        </is>
      </c>
      <c r="C57" t="n">
        <v>111</v>
      </c>
      <c r="D57" t="inlineStr">
        <is>
          <t>DG</t>
        </is>
      </c>
      <c r="E57" t="inlineStr">
        <is>
          <t>DG4</t>
        </is>
      </c>
    </row>
    <row r="58">
      <c r="A58" t="inlineStr">
        <is>
          <t>AP4.SI</t>
        </is>
      </c>
      <c r="B58" t="inlineStr">
        <is>
          <t>AP4 SP Equity</t>
        </is>
      </c>
      <c r="C58" t="n">
        <v>113</v>
      </c>
      <c r="D58" t="inlineStr">
        <is>
          <t>DI</t>
        </is>
      </c>
      <c r="E58" t="inlineStr">
        <is>
          <t>DI4</t>
        </is>
      </c>
    </row>
    <row r="59">
      <c r="A59" t="inlineStr">
        <is>
          <t>P40U.SI</t>
        </is>
      </c>
      <c r="B59" t="inlineStr">
        <is>
          <t>P40U SP Equity</t>
        </is>
      </c>
      <c r="C59" t="n">
        <v>115</v>
      </c>
      <c r="D59" t="inlineStr">
        <is>
          <t>DK</t>
        </is>
      </c>
      <c r="E59" t="inlineStr">
        <is>
          <t>DK4</t>
        </is>
      </c>
    </row>
    <row r="60">
      <c r="A60" t="inlineStr">
        <is>
          <t>B61.SI</t>
        </is>
      </c>
      <c r="B60" t="inlineStr">
        <is>
          <t>B61 SP Equity</t>
        </is>
      </c>
      <c r="C60" t="n">
        <v>117</v>
      </c>
      <c r="D60" t="inlineStr">
        <is>
          <t>DM</t>
        </is>
      </c>
      <c r="E60" t="inlineStr">
        <is>
          <t>DM4</t>
        </is>
      </c>
    </row>
    <row r="61">
      <c r="A61" t="inlineStr">
        <is>
          <t>NTDU.SI</t>
        </is>
      </c>
      <c r="B61" t="inlineStr">
        <is>
          <t>NTDU SP Equity</t>
        </is>
      </c>
      <c r="C61" t="n">
        <v>119</v>
      </c>
      <c r="D61" t="inlineStr">
        <is>
          <t>DO</t>
        </is>
      </c>
      <c r="E61" t="inlineStr">
        <is>
          <t>DO4</t>
        </is>
      </c>
    </row>
    <row r="62">
      <c r="A62" t="inlineStr">
        <is>
          <t>W05.SI</t>
        </is>
      </c>
      <c r="B62" t="inlineStr">
        <is>
          <t>W05 SP Equity</t>
        </is>
      </c>
      <c r="C62" t="n">
        <v>121</v>
      </c>
      <c r="D62" t="inlineStr">
        <is>
          <t>DQ</t>
        </is>
      </c>
      <c r="E62" t="inlineStr">
        <is>
          <t>DQ4</t>
        </is>
      </c>
    </row>
    <row r="63">
      <c r="A63" t="inlineStr">
        <is>
          <t>Q5T.SI</t>
        </is>
      </c>
      <c r="B63" t="inlineStr">
        <is>
          <t>Q5T SP Equity</t>
        </is>
      </c>
      <c r="C63" t="n">
        <v>123</v>
      </c>
      <c r="D63" t="inlineStr">
        <is>
          <t>DS</t>
        </is>
      </c>
      <c r="E63" t="inlineStr">
        <is>
          <t>DS4</t>
        </is>
      </c>
    </row>
    <row r="64">
      <c r="A64" t="inlineStr">
        <is>
          <t>BEC.SI</t>
        </is>
      </c>
      <c r="B64" t="inlineStr">
        <is>
          <t>BEC SP Equity</t>
        </is>
      </c>
      <c r="C64" t="n">
        <v>125</v>
      </c>
      <c r="D64" t="inlineStr">
        <is>
          <t>DU</t>
        </is>
      </c>
      <c r="E64" t="inlineStr">
        <is>
          <t>DU4</t>
        </is>
      </c>
    </row>
    <row r="65">
      <c r="A65" t="inlineStr">
        <is>
          <t>E28.SI</t>
        </is>
      </c>
      <c r="B65" t="inlineStr">
        <is>
          <t>E28 SP Equity</t>
        </is>
      </c>
      <c r="C65" t="n">
        <v>127</v>
      </c>
      <c r="D65" t="inlineStr">
        <is>
          <t>DW</t>
        </is>
      </c>
      <c r="E65" t="inlineStr">
        <is>
          <t>DW4</t>
        </is>
      </c>
    </row>
    <row r="66">
      <c r="A66" t="inlineStr">
        <is>
          <t>UIBU.SI</t>
        </is>
      </c>
      <c r="B66" t="inlineStr">
        <is>
          <t>UIBU SP Equity</t>
        </is>
      </c>
      <c r="C66" t="n">
        <v>129</v>
      </c>
      <c r="D66" t="inlineStr">
        <is>
          <t>DY</t>
        </is>
      </c>
      <c r="E66" t="inlineStr">
        <is>
          <t>DY4</t>
        </is>
      </c>
    </row>
    <row r="67">
      <c r="A67" t="inlineStr">
        <is>
          <t>AU8U.SI</t>
        </is>
      </c>
      <c r="B67" t="inlineStr">
        <is>
          <t>AU8U SP Equity</t>
        </is>
      </c>
      <c r="C67" t="n">
        <v>131</v>
      </c>
      <c r="D67" t="inlineStr">
        <is>
          <t>EA</t>
        </is>
      </c>
      <c r="E67" t="inlineStr">
        <is>
          <t>EA4</t>
        </is>
      </c>
    </row>
    <row r="68">
      <c r="A68" t="inlineStr">
        <is>
          <t>P52.SI</t>
        </is>
      </c>
      <c r="B68" t="inlineStr">
        <is>
          <t>P52 SP Equity</t>
        </is>
      </c>
      <c r="C68" t="n">
        <v>133</v>
      </c>
      <c r="D68" t="inlineStr">
        <is>
          <t>EC</t>
        </is>
      </c>
      <c r="E68" t="inlineStr">
        <is>
          <t>EC4</t>
        </is>
      </c>
    </row>
    <row r="69">
      <c r="A69" t="inlineStr">
        <is>
          <t>S41.SI</t>
        </is>
      </c>
      <c r="B69" t="inlineStr">
        <is>
          <t>S41 SP Equity</t>
        </is>
      </c>
      <c r="C69" t="n">
        <v>135</v>
      </c>
      <c r="D69" t="inlineStr">
        <is>
          <t>EE</t>
        </is>
      </c>
      <c r="E69" t="inlineStr">
        <is>
          <t>EE4</t>
        </is>
      </c>
    </row>
    <row r="70">
      <c r="A70" t="inlineStr">
        <is>
          <t>S61.SI</t>
        </is>
      </c>
      <c r="B70" t="inlineStr">
        <is>
          <t>S61 SP Equity</t>
        </is>
      </c>
      <c r="C70" t="n">
        <v>137</v>
      </c>
      <c r="D70" t="inlineStr">
        <is>
          <t>EG</t>
        </is>
      </c>
      <c r="E70" t="inlineStr">
        <is>
          <t>EG4</t>
        </is>
      </c>
    </row>
    <row r="71">
      <c r="A71" t="inlineStr">
        <is>
          <t>PCT.SI</t>
        </is>
      </c>
      <c r="B71" t="inlineStr">
        <is>
          <t>PCT SP Equity</t>
        </is>
      </c>
      <c r="C71" t="n">
        <v>139</v>
      </c>
      <c r="D71" t="inlineStr">
        <is>
          <t>EI</t>
        </is>
      </c>
      <c r="E71" t="inlineStr">
        <is>
          <t>EI4</t>
        </is>
      </c>
    </row>
    <row r="72">
      <c r="A72" t="inlineStr">
        <is>
          <t>ADN.SI</t>
        </is>
      </c>
      <c r="B72" t="inlineStr">
        <is>
          <t>ADN SP Equity</t>
        </is>
      </c>
      <c r="C72" t="n">
        <v>141</v>
      </c>
      <c r="D72" t="inlineStr">
        <is>
          <t>EK</t>
        </is>
      </c>
      <c r="E72" t="inlineStr">
        <is>
          <t>EK4</t>
        </is>
      </c>
    </row>
    <row r="73">
      <c r="A73" t="inlineStr">
        <is>
          <t>F9D.SI</t>
        </is>
      </c>
      <c r="B73" t="inlineStr">
        <is>
          <t>F9D SP Equity</t>
        </is>
      </c>
      <c r="C73" t="n">
        <v>143</v>
      </c>
      <c r="D73" t="inlineStr">
        <is>
          <t>EM</t>
        </is>
      </c>
      <c r="E73" t="inlineStr">
        <is>
          <t>EM4</t>
        </is>
      </c>
    </row>
    <row r="74">
      <c r="A74" t="inlineStr">
        <is>
          <t>FHH.SI</t>
        </is>
      </c>
      <c r="B74" t="inlineStr">
        <is>
          <t>FHH SP Equity</t>
        </is>
      </c>
      <c r="C74" t="n">
        <v>145</v>
      </c>
      <c r="D74" t="inlineStr">
        <is>
          <t>EO</t>
        </is>
      </c>
      <c r="E74" t="inlineStr">
        <is>
          <t>EO4</t>
        </is>
      </c>
    </row>
    <row r="75">
      <c r="A75" t="inlineStr">
        <is>
          <t>J85.SI</t>
        </is>
      </c>
      <c r="B75" t="inlineStr">
        <is>
          <t>J85 SP Equity</t>
        </is>
      </c>
      <c r="C75" t="n">
        <v>147</v>
      </c>
      <c r="D75" t="inlineStr">
        <is>
          <t>EQ</t>
        </is>
      </c>
      <c r="E75" t="inlineStr">
        <is>
          <t>EQ4</t>
        </is>
      </c>
    </row>
    <row r="76">
      <c r="A76" t="inlineStr">
        <is>
          <t>T6I.SI</t>
        </is>
      </c>
      <c r="B76" t="inlineStr">
        <is>
          <t>T6I SP Equity</t>
        </is>
      </c>
      <c r="C76" t="n">
        <v>149</v>
      </c>
      <c r="D76" t="inlineStr">
        <is>
          <t>ES</t>
        </is>
      </c>
      <c r="E76" t="inlineStr">
        <is>
          <t>ES4</t>
        </is>
      </c>
    </row>
    <row r="77">
      <c r="A77" t="inlineStr">
        <is>
          <t>RE4.SI</t>
        </is>
      </c>
      <c r="B77" t="inlineStr">
        <is>
          <t>RE4 SP Equity</t>
        </is>
      </c>
      <c r="C77" t="n">
        <v>151</v>
      </c>
      <c r="D77" t="inlineStr">
        <is>
          <t>EU</t>
        </is>
      </c>
      <c r="E77" t="inlineStr">
        <is>
          <t>EU4</t>
        </is>
      </c>
    </row>
    <row r="78">
      <c r="A78" t="inlineStr">
        <is>
          <t>544.SI</t>
        </is>
      </c>
      <c r="B78" t="inlineStr">
        <is>
          <t>544 SP Equity</t>
        </is>
      </c>
      <c r="C78" t="n">
        <v>153</v>
      </c>
      <c r="D78" t="inlineStr">
        <is>
          <t>EW</t>
        </is>
      </c>
      <c r="E78" t="inlineStr">
        <is>
          <t>EW4</t>
        </is>
      </c>
    </row>
    <row r="79">
      <c r="A79" t="inlineStr">
        <is>
          <t>CRPU.SI</t>
        </is>
      </c>
      <c r="B79" t="inlineStr">
        <is>
          <t>CRPU SP Equity</t>
        </is>
      </c>
      <c r="C79" t="n">
        <v>155</v>
      </c>
      <c r="D79" t="inlineStr">
        <is>
          <t>EY</t>
        </is>
      </c>
      <c r="E79" t="inlineStr">
        <is>
          <t>EY4</t>
        </is>
      </c>
    </row>
    <row r="80">
      <c r="A80" t="inlineStr">
        <is>
          <t>DCRU.SI</t>
        </is>
      </c>
      <c r="B80" t="inlineStr">
        <is>
          <t>DCRU SP Equity</t>
        </is>
      </c>
      <c r="C80" t="n">
        <v>157</v>
      </c>
      <c r="D80" t="inlineStr">
        <is>
          <t>FA</t>
        </is>
      </c>
      <c r="E80" t="inlineStr">
        <is>
          <t>FA4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Prices sheet notes</t>
        </is>
      </c>
    </row>
    <row r="2">
      <c r="A2" t="inlineStr">
        <is>
          <t>Each ticker has its OWN dates (Dts=S) — not only DBS.</t>
        </is>
      </c>
    </row>
    <row r="3">
      <c r="A3" t="inlineStr">
        <is>
          <t>Block layout: Row3 = Yahoo ticker | Value; Row4 = BDH spills Date + PX_LAST.</t>
        </is>
      </c>
    </row>
    <row r="4">
      <c r="A4" t="inlineStr">
        <is>
          <t>See Prices_Index for column map (D05 starts col A, O39 starts col C, …).</t>
        </is>
      </c>
    </row>
    <row r="5">
      <c r="A5" t="inlineStr">
        <is>
          <t>bbg_to_csv.py outer-joins all blocks on Date → wide price_data.csv.</t>
        </is>
      </c>
    </row>
    <row r="6">
      <c r="A6" t="inlineStr">
        <is>
          <t>Fill=P / Days=A: edit formula if you want exchange trading days only.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Each ticker = 2 columns (Date | BOOK_VAL_PER_SH), Per=M, Dts=S. Every name has its own dates (not DBS-only).</t>
        </is>
      </c>
    </row>
    <row r="3">
      <c r="A3" s="6" t="inlineStr">
        <is>
          <t>D05.SI</t>
        </is>
      </c>
      <c r="B3" s="6" t="inlineStr">
        <is>
          <t>Value</t>
        </is>
      </c>
      <c r="C3" s="6" t="inlineStr">
        <is>
          <t>O39.SI</t>
        </is>
      </c>
      <c r="D3" s="6" t="inlineStr">
        <is>
          <t>Value</t>
        </is>
      </c>
      <c r="E3" s="6" t="inlineStr">
        <is>
          <t>Z74.SI</t>
        </is>
      </c>
      <c r="F3" s="6" t="inlineStr">
        <is>
          <t>Value</t>
        </is>
      </c>
      <c r="G3" s="6" t="inlineStr">
        <is>
          <t>U11.SI</t>
        </is>
      </c>
      <c r="H3" s="6" t="inlineStr">
        <is>
          <t>Value</t>
        </is>
      </c>
      <c r="I3" s="6" t="inlineStr">
        <is>
          <t>S63.SI</t>
        </is>
      </c>
      <c r="J3" s="6" t="inlineStr">
        <is>
          <t>Value</t>
        </is>
      </c>
      <c r="K3" s="6" t="inlineStr">
        <is>
          <t>S68.SI</t>
        </is>
      </c>
      <c r="L3" s="6" t="inlineStr">
        <is>
          <t>Value</t>
        </is>
      </c>
      <c r="M3" s="6" t="inlineStr">
        <is>
          <t>J36.SI</t>
        </is>
      </c>
      <c r="N3" s="6" t="inlineStr">
        <is>
          <t>Value</t>
        </is>
      </c>
      <c r="O3" s="6" t="inlineStr">
        <is>
          <t>C6L.SI</t>
        </is>
      </c>
      <c r="P3" s="6" t="inlineStr">
        <is>
          <t>Value</t>
        </is>
      </c>
      <c r="Q3" s="6" t="inlineStr">
        <is>
          <t>F34.SI</t>
        </is>
      </c>
      <c r="R3" s="6" t="inlineStr">
        <is>
          <t>Value</t>
        </is>
      </c>
      <c r="S3" s="6" t="inlineStr">
        <is>
          <t>H78.SI</t>
        </is>
      </c>
      <c r="T3" s="6" t="inlineStr">
        <is>
          <t>Value</t>
        </is>
      </c>
      <c r="U3" s="6" t="inlineStr">
        <is>
          <t>BN4.SI</t>
        </is>
      </c>
      <c r="V3" s="6" t="inlineStr">
        <is>
          <t>Value</t>
        </is>
      </c>
      <c r="W3" s="6" t="inlineStr">
        <is>
          <t>C38U.SI</t>
        </is>
      </c>
      <c r="X3" s="6" t="inlineStr">
        <is>
          <t>Value</t>
        </is>
      </c>
      <c r="Y3" s="6" t="inlineStr">
        <is>
          <t>U14.SI</t>
        </is>
      </c>
      <c r="Z3" s="6" t="inlineStr">
        <is>
          <t>Value</t>
        </is>
      </c>
      <c r="AA3" s="6" t="inlineStr">
        <is>
          <t>5E2.SI</t>
        </is>
      </c>
      <c r="AB3" s="6" t="inlineStr">
        <is>
          <t>Value</t>
        </is>
      </c>
      <c r="AC3" s="6" t="inlineStr">
        <is>
          <t>G13.SI</t>
        </is>
      </c>
      <c r="AD3" s="6" t="inlineStr">
        <is>
          <t>Value</t>
        </is>
      </c>
      <c r="AE3" s="6" t="inlineStr">
        <is>
          <t>S58.SI</t>
        </is>
      </c>
      <c r="AF3" s="6" t="inlineStr">
        <is>
          <t>Value</t>
        </is>
      </c>
      <c r="AG3" s="6" t="inlineStr">
        <is>
          <t>N2IU.SI</t>
        </is>
      </c>
      <c r="AH3" s="6" t="inlineStr">
        <is>
          <t>Value</t>
        </is>
      </c>
      <c r="AI3" s="6" t="inlineStr">
        <is>
          <t>C09.SI</t>
        </is>
      </c>
      <c r="AJ3" s="6" t="inlineStr">
        <is>
          <t>Value</t>
        </is>
      </c>
      <c r="AK3" s="6" t="inlineStr">
        <is>
          <t>D01.SI</t>
        </is>
      </c>
      <c r="AL3" s="6" t="inlineStr">
        <is>
          <t>Value</t>
        </is>
      </c>
      <c r="AM3" s="6" t="inlineStr">
        <is>
          <t>M44U.SI</t>
        </is>
      </c>
      <c r="AN3" s="6" t="inlineStr">
        <is>
          <t>Value</t>
        </is>
      </c>
      <c r="AO3" s="6" t="inlineStr">
        <is>
          <t>EB5.SI</t>
        </is>
      </c>
      <c r="AP3" s="6" t="inlineStr">
        <is>
          <t>Value</t>
        </is>
      </c>
      <c r="AQ3" s="6" t="inlineStr">
        <is>
          <t>ME8U.SI</t>
        </is>
      </c>
      <c r="AR3" s="6" t="inlineStr">
        <is>
          <t>Value</t>
        </is>
      </c>
      <c r="AS3" s="6" t="inlineStr">
        <is>
          <t>AJBU.SI</t>
        </is>
      </c>
      <c r="AT3" s="6" t="inlineStr">
        <is>
          <t>Value</t>
        </is>
      </c>
      <c r="AU3" s="6" t="inlineStr">
        <is>
          <t>VC2.SI</t>
        </is>
      </c>
      <c r="AV3" s="6" t="inlineStr">
        <is>
          <t>Value</t>
        </is>
      </c>
      <c r="AW3" s="6" t="inlineStr">
        <is>
          <t>U06.SI</t>
        </is>
      </c>
      <c r="AX3" s="6" t="inlineStr">
        <is>
          <t>Value</t>
        </is>
      </c>
      <c r="AY3" s="6" t="inlineStr">
        <is>
          <t>OV8.SI</t>
        </is>
      </c>
      <c r="AZ3" s="6" t="inlineStr">
        <is>
          <t>Value</t>
        </is>
      </c>
      <c r="BA3" s="6" t="inlineStr">
        <is>
          <t>V03.SI</t>
        </is>
      </c>
      <c r="BB3" s="6" t="inlineStr">
        <is>
          <t>Value</t>
        </is>
      </c>
      <c r="BC3" s="6" t="inlineStr">
        <is>
          <t>J69U.SI</t>
        </is>
      </c>
      <c r="BD3" s="6" t="inlineStr">
        <is>
          <t>Value</t>
        </is>
      </c>
      <c r="BE3" s="6" t="inlineStr">
        <is>
          <t>T82U.SI</t>
        </is>
      </c>
      <c r="BF3" s="6" t="inlineStr">
        <is>
          <t>Value</t>
        </is>
      </c>
      <c r="BG3" s="6" t="inlineStr">
        <is>
          <t>K71U.SI</t>
        </is>
      </c>
      <c r="BH3" s="6" t="inlineStr">
        <is>
          <t>Value</t>
        </is>
      </c>
      <c r="BI3" s="6" t="inlineStr">
        <is>
          <t>U10.SI</t>
        </is>
      </c>
      <c r="BJ3" s="6" t="inlineStr">
        <is>
          <t>Value</t>
        </is>
      </c>
      <c r="BK3" s="6" t="inlineStr">
        <is>
          <t>TQ5.SI</t>
        </is>
      </c>
      <c r="BL3" s="6" t="inlineStr">
        <is>
          <t>Value</t>
        </is>
      </c>
      <c r="BM3" s="6" t="inlineStr">
        <is>
          <t>CJL.SI</t>
        </is>
      </c>
      <c r="BN3" s="6" t="inlineStr">
        <is>
          <t>Value</t>
        </is>
      </c>
      <c r="BO3" s="6" t="inlineStr">
        <is>
          <t>BUOU.SI</t>
        </is>
      </c>
      <c r="BP3" s="6" t="inlineStr">
        <is>
          <t>Value</t>
        </is>
      </c>
      <c r="BQ3" s="6" t="inlineStr">
        <is>
          <t>S59.SI</t>
        </is>
      </c>
      <c r="BR3" s="6" t="inlineStr">
        <is>
          <t>Value</t>
        </is>
      </c>
      <c r="BS3" s="6" t="inlineStr">
        <is>
          <t>E5H.SI</t>
        </is>
      </c>
      <c r="BT3" s="6" t="inlineStr">
        <is>
          <t>Value</t>
        </is>
      </c>
      <c r="BU3" s="6" t="inlineStr">
        <is>
          <t>H02.SI</t>
        </is>
      </c>
      <c r="BV3" s="6" t="inlineStr">
        <is>
          <t>Value</t>
        </is>
      </c>
      <c r="BW3" s="6" t="inlineStr">
        <is>
          <t>HMN.SI</t>
        </is>
      </c>
      <c r="BX3" s="6" t="inlineStr">
        <is>
          <t>Value</t>
        </is>
      </c>
      <c r="BY3" s="6" t="inlineStr">
        <is>
          <t>A7RU.SI</t>
        </is>
      </c>
      <c r="BZ3" s="6" t="inlineStr">
        <is>
          <t>Value</t>
        </is>
      </c>
      <c r="CA3" s="6" t="inlineStr">
        <is>
          <t>P8Z.SI</t>
        </is>
      </c>
      <c r="CB3" s="6" t="inlineStr">
        <is>
          <t>Value</t>
        </is>
      </c>
      <c r="CC3" s="6" t="inlineStr">
        <is>
          <t>C52.SI</t>
        </is>
      </c>
      <c r="CD3" s="6" t="inlineStr">
        <is>
          <t>Value</t>
        </is>
      </c>
      <c r="CE3" s="6" t="inlineStr">
        <is>
          <t>AWX.SI</t>
        </is>
      </c>
      <c r="CF3" s="6" t="inlineStr">
        <is>
          <t>Value</t>
        </is>
      </c>
      <c r="CG3" s="6" t="inlineStr">
        <is>
          <t>AIY.SI</t>
        </is>
      </c>
      <c r="CH3" s="6" t="inlineStr">
        <is>
          <t>Value</t>
        </is>
      </c>
      <c r="CI3" s="6" t="inlineStr">
        <is>
          <t>C2PU.SI</t>
        </is>
      </c>
      <c r="CJ3" s="6" t="inlineStr">
        <is>
          <t>Value</t>
        </is>
      </c>
      <c r="CK3" s="6" t="inlineStr">
        <is>
          <t>F17.SI</t>
        </is>
      </c>
      <c r="CL3" s="6" t="inlineStr">
        <is>
          <t>Value</t>
        </is>
      </c>
      <c r="CM3" s="6" t="inlineStr">
        <is>
          <t>H15.SI</t>
        </is>
      </c>
      <c r="CN3" s="6" t="inlineStr">
        <is>
          <t>Value</t>
        </is>
      </c>
      <c r="CO3" s="6" t="inlineStr">
        <is>
          <t>H22.SI</t>
        </is>
      </c>
      <c r="CP3" s="6" t="inlineStr">
        <is>
          <t>Value</t>
        </is>
      </c>
      <c r="CQ3" s="6" t="inlineStr">
        <is>
          <t>558.SI</t>
        </is>
      </c>
      <c r="CR3" s="6" t="inlineStr">
        <is>
          <t>Value</t>
        </is>
      </c>
      <c r="CS3" s="6" t="inlineStr">
        <is>
          <t>NS8U.SI</t>
        </is>
      </c>
      <c r="CT3" s="6" t="inlineStr">
        <is>
          <t>Value</t>
        </is>
      </c>
      <c r="CU3" s="6" t="inlineStr">
        <is>
          <t>8Y.SI</t>
        </is>
      </c>
      <c r="CV3" s="6" t="inlineStr">
        <is>
          <t>Value</t>
        </is>
      </c>
      <c r="CW3" s="6" t="inlineStr">
        <is>
          <t>F99.SI</t>
        </is>
      </c>
      <c r="CX3" s="6" t="inlineStr">
        <is>
          <t>Value</t>
        </is>
      </c>
      <c r="CY3" s="6" t="inlineStr">
        <is>
          <t>TS0U.SI</t>
        </is>
      </c>
      <c r="CZ3" s="6" t="inlineStr">
        <is>
          <t>Value</t>
        </is>
      </c>
      <c r="DA3" s="6" t="inlineStr">
        <is>
          <t>9A4U.SI</t>
        </is>
      </c>
      <c r="DB3" s="6" t="inlineStr">
        <is>
          <t>Value</t>
        </is>
      </c>
      <c r="DC3" s="6" t="inlineStr">
        <is>
          <t>8C8U.SI</t>
        </is>
      </c>
      <c r="DD3" s="6" t="inlineStr">
        <is>
          <t>Value</t>
        </is>
      </c>
      <c r="DE3" s="6" t="inlineStr">
        <is>
          <t>SEB.SI</t>
        </is>
      </c>
      <c r="DF3" s="6" t="inlineStr">
        <is>
          <t>Value</t>
        </is>
      </c>
      <c r="DG3" s="6" t="inlineStr">
        <is>
          <t>Z25.SI</t>
        </is>
      </c>
      <c r="DH3" s="6" t="inlineStr">
        <is>
          <t>Value</t>
        </is>
      </c>
      <c r="DI3" s="6" t="inlineStr">
        <is>
          <t>AP4.SI</t>
        </is>
      </c>
      <c r="DJ3" s="6" t="inlineStr">
        <is>
          <t>Value</t>
        </is>
      </c>
      <c r="DK3" s="6" t="inlineStr">
        <is>
          <t>P40U.SI</t>
        </is>
      </c>
      <c r="DL3" s="6" t="inlineStr">
        <is>
          <t>Value</t>
        </is>
      </c>
      <c r="DM3" s="6" t="inlineStr">
        <is>
          <t>B61.SI</t>
        </is>
      </c>
      <c r="DN3" s="6" t="inlineStr">
        <is>
          <t>Value</t>
        </is>
      </c>
      <c r="DO3" s="6" t="inlineStr">
        <is>
          <t>NTDU.SI</t>
        </is>
      </c>
      <c r="DP3" s="6" t="inlineStr">
        <is>
          <t>Value</t>
        </is>
      </c>
      <c r="DQ3" s="6" t="inlineStr">
        <is>
          <t>W05.SI</t>
        </is>
      </c>
      <c r="DR3" s="6" t="inlineStr">
        <is>
          <t>Value</t>
        </is>
      </c>
      <c r="DS3" s="6" t="inlineStr">
        <is>
          <t>Q5T.SI</t>
        </is>
      </c>
      <c r="DT3" s="6" t="inlineStr">
        <is>
          <t>Value</t>
        </is>
      </c>
      <c r="DU3" s="6" t="inlineStr">
        <is>
          <t>BEC.SI</t>
        </is>
      </c>
      <c r="DV3" s="6" t="inlineStr">
        <is>
          <t>Value</t>
        </is>
      </c>
      <c r="DW3" s="6" t="inlineStr">
        <is>
          <t>E28.SI</t>
        </is>
      </c>
      <c r="DX3" s="6" t="inlineStr">
        <is>
          <t>Value</t>
        </is>
      </c>
      <c r="DY3" s="6" t="inlineStr">
        <is>
          <t>UIBU.SI</t>
        </is>
      </c>
      <c r="DZ3" s="6" t="inlineStr">
        <is>
          <t>Value</t>
        </is>
      </c>
      <c r="EA3" s="6" t="inlineStr">
        <is>
          <t>AU8U.SI</t>
        </is>
      </c>
      <c r="EB3" s="6" t="inlineStr">
        <is>
          <t>Value</t>
        </is>
      </c>
      <c r="EC3" s="6" t="inlineStr">
        <is>
          <t>P52.SI</t>
        </is>
      </c>
      <c r="ED3" s="6" t="inlineStr">
        <is>
          <t>Value</t>
        </is>
      </c>
      <c r="EE3" s="6" t="inlineStr">
        <is>
          <t>S41.SI</t>
        </is>
      </c>
      <c r="EF3" s="6" t="inlineStr">
        <is>
          <t>Value</t>
        </is>
      </c>
      <c r="EG3" s="6" t="inlineStr">
        <is>
          <t>S61.SI</t>
        </is>
      </c>
      <c r="EH3" s="6" t="inlineStr">
        <is>
          <t>Value</t>
        </is>
      </c>
      <c r="EI3" s="6" t="inlineStr">
        <is>
          <t>PCT.SI</t>
        </is>
      </c>
      <c r="EJ3" s="6" t="inlineStr">
        <is>
          <t>Value</t>
        </is>
      </c>
      <c r="EK3" s="6" t="inlineStr">
        <is>
          <t>ADN.SI</t>
        </is>
      </c>
      <c r="EL3" s="6" t="inlineStr">
        <is>
          <t>Value</t>
        </is>
      </c>
      <c r="EM3" s="6" t="inlineStr">
        <is>
          <t>F9D.SI</t>
        </is>
      </c>
      <c r="EN3" s="6" t="inlineStr">
        <is>
          <t>Value</t>
        </is>
      </c>
      <c r="EO3" s="6" t="inlineStr">
        <is>
          <t>FHH.SI</t>
        </is>
      </c>
      <c r="EP3" s="6" t="inlineStr">
        <is>
          <t>Value</t>
        </is>
      </c>
      <c r="EQ3" s="6" t="inlineStr">
        <is>
          <t>J85.SI</t>
        </is>
      </c>
      <c r="ER3" s="6" t="inlineStr">
        <is>
          <t>Value</t>
        </is>
      </c>
      <c r="ES3" s="6" t="inlineStr">
        <is>
          <t>T6I.SI</t>
        </is>
      </c>
      <c r="ET3" s="6" t="inlineStr">
        <is>
          <t>Value</t>
        </is>
      </c>
      <c r="EU3" s="6" t="inlineStr">
        <is>
          <t>RE4.SI</t>
        </is>
      </c>
      <c r="EV3" s="6" t="inlineStr">
        <is>
          <t>Value</t>
        </is>
      </c>
      <c r="EW3" s="6" t="inlineStr">
        <is>
          <t>544.SI</t>
        </is>
      </c>
      <c r="EX3" s="6" t="inlineStr">
        <is>
          <t>Value</t>
        </is>
      </c>
      <c r="EY3" s="6" t="inlineStr">
        <is>
          <t>CRPU.SI</t>
        </is>
      </c>
      <c r="EZ3" s="6" t="inlineStr">
        <is>
          <t>Value</t>
        </is>
      </c>
      <c r="FA3" s="6" t="inlineStr">
        <is>
          <t>DCRU.SI</t>
        </is>
      </c>
      <c r="FB3" s="6" t="inlineStr">
        <is>
          <t>Value</t>
        </is>
      </c>
    </row>
    <row r="4">
      <c r="A4">
        <f>BDH(Universe!B2,Control!$B$5,Control!$B$2,Control!$B$3,"Dir=V","Dts=S","Sort=A","Per=M","Fill=P")</f>
        <v/>
      </c>
      <c r="C4">
        <f>BDH(Universe!B3,Control!$B$5,Control!$B$2,Control!$B$3,"Dir=V","Dts=S","Sort=A","Per=M","Fill=P")</f>
        <v/>
      </c>
      <c r="E4">
        <f>BDH(Universe!B4,Control!$B$5,Control!$B$2,Control!$B$3,"Dir=V","Dts=S","Sort=A","Per=M","Fill=P")</f>
        <v/>
      </c>
      <c r="G4">
        <f>BDH(Universe!B5,Control!$B$5,Control!$B$2,Control!$B$3,"Dir=V","Dts=S","Sort=A","Per=M","Fill=P")</f>
        <v/>
      </c>
      <c r="I4">
        <f>BDH(Universe!B6,Control!$B$5,Control!$B$2,Control!$B$3,"Dir=V","Dts=S","Sort=A","Per=M","Fill=P")</f>
        <v/>
      </c>
      <c r="K4">
        <f>BDH(Universe!B7,Control!$B$5,Control!$B$2,Control!$B$3,"Dir=V","Dts=S","Sort=A","Per=M","Fill=P")</f>
        <v/>
      </c>
      <c r="M4">
        <f>BDH(Universe!B8,Control!$B$5,Control!$B$2,Control!$B$3,"Dir=V","Dts=S","Sort=A","Per=M","Fill=P")</f>
        <v/>
      </c>
      <c r="O4">
        <f>BDH(Universe!B9,Control!$B$5,Control!$B$2,Control!$B$3,"Dir=V","Dts=S","Sort=A","Per=M","Fill=P")</f>
        <v/>
      </c>
      <c r="Q4">
        <f>BDH(Universe!B10,Control!$B$5,Control!$B$2,Control!$B$3,"Dir=V","Dts=S","Sort=A","Per=M","Fill=P")</f>
        <v/>
      </c>
      <c r="S4">
        <f>BDH(Universe!B11,Control!$B$5,Control!$B$2,Control!$B$3,"Dir=V","Dts=S","Sort=A","Per=M","Fill=P")</f>
        <v/>
      </c>
      <c r="U4">
        <f>BDH(Universe!B12,Control!$B$5,Control!$B$2,Control!$B$3,"Dir=V","Dts=S","Sort=A","Per=M","Fill=P")</f>
        <v/>
      </c>
      <c r="W4">
        <f>BDH(Universe!B13,Control!$B$5,Control!$B$2,Control!$B$3,"Dir=V","Dts=S","Sort=A","Per=M","Fill=P")</f>
        <v/>
      </c>
      <c r="Y4">
        <f>BDH(Universe!B14,Control!$B$5,Control!$B$2,Control!$B$3,"Dir=V","Dts=S","Sort=A","Per=M","Fill=P")</f>
        <v/>
      </c>
      <c r="AA4">
        <f>BDH(Universe!B15,Control!$B$5,Control!$B$2,Control!$B$3,"Dir=V","Dts=S","Sort=A","Per=M","Fill=P")</f>
        <v/>
      </c>
      <c r="AC4">
        <f>BDH(Universe!B16,Control!$B$5,Control!$B$2,Control!$B$3,"Dir=V","Dts=S","Sort=A","Per=M","Fill=P")</f>
        <v/>
      </c>
      <c r="AE4">
        <f>BDH(Universe!B17,Control!$B$5,Control!$B$2,Control!$B$3,"Dir=V","Dts=S","Sort=A","Per=M","Fill=P")</f>
        <v/>
      </c>
      <c r="AG4">
        <f>BDH(Universe!B18,Control!$B$5,Control!$B$2,Control!$B$3,"Dir=V","Dts=S","Sort=A","Per=M","Fill=P")</f>
        <v/>
      </c>
      <c r="AI4">
        <f>BDH(Universe!B19,Control!$B$5,Control!$B$2,Control!$B$3,"Dir=V","Dts=S","Sort=A","Per=M","Fill=P")</f>
        <v/>
      </c>
      <c r="AK4">
        <f>BDH(Universe!B20,Control!$B$5,Control!$B$2,Control!$B$3,"Dir=V","Dts=S","Sort=A","Per=M","Fill=P")</f>
        <v/>
      </c>
      <c r="AM4">
        <f>BDH(Universe!B21,Control!$B$5,Control!$B$2,Control!$B$3,"Dir=V","Dts=S","Sort=A","Per=M","Fill=P")</f>
        <v/>
      </c>
      <c r="AO4">
        <f>BDH(Universe!B22,Control!$B$5,Control!$B$2,Control!$B$3,"Dir=V","Dts=S","Sort=A","Per=M","Fill=P")</f>
        <v/>
      </c>
      <c r="AQ4">
        <f>BDH(Universe!B23,Control!$B$5,Control!$B$2,Control!$B$3,"Dir=V","Dts=S","Sort=A","Per=M","Fill=P")</f>
        <v/>
      </c>
      <c r="AS4">
        <f>BDH(Universe!B24,Control!$B$5,Control!$B$2,Control!$B$3,"Dir=V","Dts=S","Sort=A","Per=M","Fill=P")</f>
        <v/>
      </c>
      <c r="AU4">
        <f>BDH(Universe!B25,Control!$B$5,Control!$B$2,Control!$B$3,"Dir=V","Dts=S","Sort=A","Per=M","Fill=P")</f>
        <v/>
      </c>
      <c r="AW4">
        <f>BDH(Universe!B26,Control!$B$5,Control!$B$2,Control!$B$3,"Dir=V","Dts=S","Sort=A","Per=M","Fill=P")</f>
        <v/>
      </c>
      <c r="AY4">
        <f>BDH(Universe!B27,Control!$B$5,Control!$B$2,Control!$B$3,"Dir=V","Dts=S","Sort=A","Per=M","Fill=P")</f>
        <v/>
      </c>
      <c r="BA4">
        <f>BDH(Universe!B28,Control!$B$5,Control!$B$2,Control!$B$3,"Dir=V","Dts=S","Sort=A","Per=M","Fill=P")</f>
        <v/>
      </c>
      <c r="BC4">
        <f>BDH(Universe!B29,Control!$B$5,Control!$B$2,Control!$B$3,"Dir=V","Dts=S","Sort=A","Per=M","Fill=P")</f>
        <v/>
      </c>
      <c r="BE4">
        <f>BDH(Universe!B30,Control!$B$5,Control!$B$2,Control!$B$3,"Dir=V","Dts=S","Sort=A","Per=M","Fill=P")</f>
        <v/>
      </c>
      <c r="BG4">
        <f>BDH(Universe!B31,Control!$B$5,Control!$B$2,Control!$B$3,"Dir=V","Dts=S","Sort=A","Per=M","Fill=P")</f>
        <v/>
      </c>
      <c r="BI4">
        <f>BDH(Universe!B32,Control!$B$5,Control!$B$2,Control!$B$3,"Dir=V","Dts=S","Sort=A","Per=M","Fill=P")</f>
        <v/>
      </c>
      <c r="BK4">
        <f>BDH(Universe!B33,Control!$B$5,Control!$B$2,Control!$B$3,"Dir=V","Dts=S","Sort=A","Per=M","Fill=P")</f>
        <v/>
      </c>
      <c r="BM4">
        <f>BDH(Universe!B34,Control!$B$5,Control!$B$2,Control!$B$3,"Dir=V","Dts=S","Sort=A","Per=M","Fill=P")</f>
        <v/>
      </c>
      <c r="BO4">
        <f>BDH(Universe!B35,Control!$B$5,Control!$B$2,Control!$B$3,"Dir=V","Dts=S","Sort=A","Per=M","Fill=P")</f>
        <v/>
      </c>
      <c r="BQ4">
        <f>BDH(Universe!B36,Control!$B$5,Control!$B$2,Control!$B$3,"Dir=V","Dts=S","Sort=A","Per=M","Fill=P")</f>
        <v/>
      </c>
      <c r="BS4">
        <f>BDH(Universe!B37,Control!$B$5,Control!$B$2,Control!$B$3,"Dir=V","Dts=S","Sort=A","Per=M","Fill=P")</f>
        <v/>
      </c>
      <c r="BU4">
        <f>BDH(Universe!B38,Control!$B$5,Control!$B$2,Control!$B$3,"Dir=V","Dts=S","Sort=A","Per=M","Fill=P")</f>
        <v/>
      </c>
      <c r="BW4">
        <f>BDH(Universe!B39,Control!$B$5,Control!$B$2,Control!$B$3,"Dir=V","Dts=S","Sort=A","Per=M","Fill=P")</f>
        <v/>
      </c>
      <c r="BY4">
        <f>BDH(Universe!B40,Control!$B$5,Control!$B$2,Control!$B$3,"Dir=V","Dts=S","Sort=A","Per=M","Fill=P")</f>
        <v/>
      </c>
      <c r="CA4">
        <f>BDH(Universe!B41,Control!$B$5,Control!$B$2,Control!$B$3,"Dir=V","Dts=S","Sort=A","Per=M","Fill=P")</f>
        <v/>
      </c>
      <c r="CC4">
        <f>BDH(Universe!B42,Control!$B$5,Control!$B$2,Control!$B$3,"Dir=V","Dts=S","Sort=A","Per=M","Fill=P")</f>
        <v/>
      </c>
      <c r="CE4">
        <f>BDH(Universe!B43,Control!$B$5,Control!$B$2,Control!$B$3,"Dir=V","Dts=S","Sort=A","Per=M","Fill=P")</f>
        <v/>
      </c>
      <c r="CG4">
        <f>BDH(Universe!B44,Control!$B$5,Control!$B$2,Control!$B$3,"Dir=V","Dts=S","Sort=A","Per=M","Fill=P")</f>
        <v/>
      </c>
      <c r="CI4">
        <f>BDH(Universe!B45,Control!$B$5,Control!$B$2,Control!$B$3,"Dir=V","Dts=S","Sort=A","Per=M","Fill=P")</f>
        <v/>
      </c>
      <c r="CK4">
        <f>BDH(Universe!B46,Control!$B$5,Control!$B$2,Control!$B$3,"Dir=V","Dts=S","Sort=A","Per=M","Fill=P")</f>
        <v/>
      </c>
      <c r="CM4">
        <f>BDH(Universe!B47,Control!$B$5,Control!$B$2,Control!$B$3,"Dir=V","Dts=S","Sort=A","Per=M","Fill=P")</f>
        <v/>
      </c>
      <c r="CO4">
        <f>BDH(Universe!B48,Control!$B$5,Control!$B$2,Control!$B$3,"Dir=V","Dts=S","Sort=A","Per=M","Fill=P")</f>
        <v/>
      </c>
      <c r="CQ4">
        <f>BDH(Universe!B49,Control!$B$5,Control!$B$2,Control!$B$3,"Dir=V","Dts=S","Sort=A","Per=M","Fill=P")</f>
        <v/>
      </c>
      <c r="CS4">
        <f>BDH(Universe!B50,Control!$B$5,Control!$B$2,Control!$B$3,"Dir=V","Dts=S","Sort=A","Per=M","Fill=P")</f>
        <v/>
      </c>
      <c r="CU4">
        <f>BDH(Universe!B51,Control!$B$5,Control!$B$2,Control!$B$3,"Dir=V","Dts=S","Sort=A","Per=M","Fill=P")</f>
        <v/>
      </c>
      <c r="CW4">
        <f>BDH(Universe!B52,Control!$B$5,Control!$B$2,Control!$B$3,"Dir=V","Dts=S","Sort=A","Per=M","Fill=P")</f>
        <v/>
      </c>
      <c r="CY4">
        <f>BDH(Universe!B53,Control!$B$5,Control!$B$2,Control!$B$3,"Dir=V","Dts=S","Sort=A","Per=M","Fill=P")</f>
        <v/>
      </c>
      <c r="DA4">
        <f>BDH(Universe!B54,Control!$B$5,Control!$B$2,Control!$B$3,"Dir=V","Dts=S","Sort=A","Per=M","Fill=P")</f>
        <v/>
      </c>
      <c r="DC4">
        <f>BDH(Universe!B55,Control!$B$5,Control!$B$2,Control!$B$3,"Dir=V","Dts=S","Sort=A","Per=M","Fill=P")</f>
        <v/>
      </c>
      <c r="DE4">
        <f>BDH(Universe!B56,Control!$B$5,Control!$B$2,Control!$B$3,"Dir=V","Dts=S","Sort=A","Per=M","Fill=P")</f>
        <v/>
      </c>
      <c r="DG4">
        <f>BDH(Universe!B57,Control!$B$5,Control!$B$2,Control!$B$3,"Dir=V","Dts=S","Sort=A","Per=M","Fill=P")</f>
        <v/>
      </c>
      <c r="DI4">
        <f>BDH(Universe!B58,Control!$B$5,Control!$B$2,Control!$B$3,"Dir=V","Dts=S","Sort=A","Per=M","Fill=P")</f>
        <v/>
      </c>
      <c r="DK4">
        <f>BDH(Universe!B59,Control!$B$5,Control!$B$2,Control!$B$3,"Dir=V","Dts=S","Sort=A","Per=M","Fill=P")</f>
        <v/>
      </c>
      <c r="DM4">
        <f>BDH(Universe!B60,Control!$B$5,Control!$B$2,Control!$B$3,"Dir=V","Dts=S","Sort=A","Per=M","Fill=P")</f>
        <v/>
      </c>
      <c r="DO4">
        <f>BDH(Universe!B61,Control!$B$5,Control!$B$2,Control!$B$3,"Dir=V","Dts=S","Sort=A","Per=M","Fill=P")</f>
        <v/>
      </c>
      <c r="DQ4">
        <f>BDH(Universe!B62,Control!$B$5,Control!$B$2,Control!$B$3,"Dir=V","Dts=S","Sort=A","Per=M","Fill=P")</f>
        <v/>
      </c>
      <c r="DS4">
        <f>BDH(Universe!B63,Control!$B$5,Control!$B$2,Control!$B$3,"Dir=V","Dts=S","Sort=A","Per=M","Fill=P")</f>
        <v/>
      </c>
      <c r="DU4">
        <f>BDH(Universe!B64,Control!$B$5,Control!$B$2,Control!$B$3,"Dir=V","Dts=S","Sort=A","Per=M","Fill=P")</f>
        <v/>
      </c>
      <c r="DW4">
        <f>BDH(Universe!B65,Control!$B$5,Control!$B$2,Control!$B$3,"Dir=V","Dts=S","Sort=A","Per=M","Fill=P")</f>
        <v/>
      </c>
      <c r="DY4">
        <f>BDH(Universe!B66,Control!$B$5,Control!$B$2,Control!$B$3,"Dir=V","Dts=S","Sort=A","Per=M","Fill=P")</f>
        <v/>
      </c>
      <c r="EA4">
        <f>BDH(Universe!B67,Control!$B$5,Control!$B$2,Control!$B$3,"Dir=V","Dts=S","Sort=A","Per=M","Fill=P")</f>
        <v/>
      </c>
      <c r="EC4">
        <f>BDH(Universe!B68,Control!$B$5,Control!$B$2,Control!$B$3,"Dir=V","Dts=S","Sort=A","Per=M","Fill=P")</f>
        <v/>
      </c>
      <c r="EE4">
        <f>BDH(Universe!B69,Control!$B$5,Control!$B$2,Control!$B$3,"Dir=V","Dts=S","Sort=A","Per=M","Fill=P")</f>
        <v/>
      </c>
      <c r="EG4">
        <f>BDH(Universe!B70,Control!$B$5,Control!$B$2,Control!$B$3,"Dir=V","Dts=S","Sort=A","Per=M","Fill=P")</f>
        <v/>
      </c>
      <c r="EI4">
        <f>BDH(Universe!B71,Control!$B$5,Control!$B$2,Control!$B$3,"Dir=V","Dts=S","Sort=A","Per=M","Fill=P")</f>
        <v/>
      </c>
      <c r="EK4">
        <f>BDH(Universe!B72,Control!$B$5,Control!$B$2,Control!$B$3,"Dir=V","Dts=S","Sort=A","Per=M","Fill=P")</f>
        <v/>
      </c>
      <c r="EM4">
        <f>BDH(Universe!B73,Control!$B$5,Control!$B$2,Control!$B$3,"Dir=V","Dts=S","Sort=A","Per=M","Fill=P")</f>
        <v/>
      </c>
      <c r="EO4">
        <f>BDH(Universe!B74,Control!$B$5,Control!$B$2,Control!$B$3,"Dir=V","Dts=S","Sort=A","Per=M","Fill=P")</f>
        <v/>
      </c>
      <c r="EQ4">
        <f>BDH(Universe!B75,Control!$B$5,Control!$B$2,Control!$B$3,"Dir=V","Dts=S","Sort=A","Per=M","Fill=P")</f>
        <v/>
      </c>
      <c r="ES4">
        <f>BDH(Universe!B76,Control!$B$5,Control!$B$2,Control!$B$3,"Dir=V","Dts=S","Sort=A","Per=M","Fill=P")</f>
        <v/>
      </c>
      <c r="EU4">
        <f>BDH(Universe!B77,Control!$B$5,Control!$B$2,Control!$B$3,"Dir=V","Dts=S","Sort=A","Per=M","Fill=P")</f>
        <v/>
      </c>
      <c r="EW4">
        <f>BDH(Universe!B78,Control!$B$5,Control!$B$2,Control!$B$3,"Dir=V","Dts=S","Sort=A","Per=M","Fill=P")</f>
        <v/>
      </c>
      <c r="EY4">
        <f>BDH(Universe!B79,Control!$B$5,Control!$B$2,Control!$B$3,"Dir=V","Dts=S","Sort=A","Per=M","Fill=P")</f>
        <v/>
      </c>
      <c r="FA4">
        <f>BDH(Universe!B80,Control!$B$5,Control!$B$2,Control!$B$3,"Dir=V","Dts=S","Sort=A","Per=M","Fill=P")</f>
        <v/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12" customWidth="1" min="5" max="5"/>
  </cols>
  <sheetData>
    <row r="1">
      <c r="A1" s="6" t="inlineStr">
        <is>
          <t>YahooTicker</t>
        </is>
      </c>
      <c r="B1" s="6" t="inlineStr">
        <is>
          <t>BloombergTicker</t>
        </is>
      </c>
      <c r="C1" s="6" t="inlineStr">
        <is>
          <t>StartCol</t>
        </is>
      </c>
      <c r="D1" s="6" t="inlineStr">
        <is>
          <t>ExcelCol</t>
        </is>
      </c>
      <c r="E1" s="6" t="inlineStr">
        <is>
          <t>BDH_Cell</t>
        </is>
      </c>
    </row>
    <row r="2">
      <c r="A2" t="inlineStr">
        <is>
          <t>D05.SI</t>
        </is>
      </c>
      <c r="B2" t="inlineStr">
        <is>
          <t>D05 SP Equity</t>
        </is>
      </c>
      <c r="C2" t="n">
        <v>1</v>
      </c>
      <c r="D2" t="inlineStr">
        <is>
          <t>A</t>
        </is>
      </c>
      <c r="E2" t="inlineStr">
        <is>
          <t>A4</t>
        </is>
      </c>
    </row>
    <row r="3">
      <c r="A3" t="inlineStr">
        <is>
          <t>O39.SI</t>
        </is>
      </c>
      <c r="B3" t="inlineStr">
        <is>
          <t>O39 SP Equity</t>
        </is>
      </c>
      <c r="C3" t="n">
        <v>3</v>
      </c>
      <c r="D3" t="inlineStr">
        <is>
          <t>C</t>
        </is>
      </c>
      <c r="E3" t="inlineStr">
        <is>
          <t>C4</t>
        </is>
      </c>
    </row>
    <row r="4">
      <c r="A4" t="inlineStr">
        <is>
          <t>Z74.SI</t>
        </is>
      </c>
      <c r="B4" t="inlineStr">
        <is>
          <t>Z74 SP Equity</t>
        </is>
      </c>
      <c r="C4" t="n">
        <v>5</v>
      </c>
      <c r="D4" t="inlineStr">
        <is>
          <t>E</t>
        </is>
      </c>
      <c r="E4" t="inlineStr">
        <is>
          <t>E4</t>
        </is>
      </c>
    </row>
    <row r="5">
      <c r="A5" t="inlineStr">
        <is>
          <t>U11.SI</t>
        </is>
      </c>
      <c r="B5" t="inlineStr">
        <is>
          <t>U11 SP Equity</t>
        </is>
      </c>
      <c r="C5" t="n">
        <v>7</v>
      </c>
      <c r="D5" t="inlineStr">
        <is>
          <t>G</t>
        </is>
      </c>
      <c r="E5" t="inlineStr">
        <is>
          <t>G4</t>
        </is>
      </c>
    </row>
    <row r="6">
      <c r="A6" t="inlineStr">
        <is>
          <t>S63.SI</t>
        </is>
      </c>
      <c r="B6" t="inlineStr">
        <is>
          <t>S63 SP Equity</t>
        </is>
      </c>
      <c r="C6" t="n">
        <v>9</v>
      </c>
      <c r="D6" t="inlineStr">
        <is>
          <t>I</t>
        </is>
      </c>
      <c r="E6" t="inlineStr">
        <is>
          <t>I4</t>
        </is>
      </c>
    </row>
    <row r="7">
      <c r="A7" t="inlineStr">
        <is>
          <t>S68.SI</t>
        </is>
      </c>
      <c r="B7" t="inlineStr">
        <is>
          <t>S68 SP Equity</t>
        </is>
      </c>
      <c r="C7" t="n">
        <v>11</v>
      </c>
      <c r="D7" t="inlineStr">
        <is>
          <t>K</t>
        </is>
      </c>
      <c r="E7" t="inlineStr">
        <is>
          <t>K4</t>
        </is>
      </c>
    </row>
    <row r="8">
      <c r="A8" t="inlineStr">
        <is>
          <t>J36.SI</t>
        </is>
      </c>
      <c r="B8" t="inlineStr">
        <is>
          <t>J36 SP Equity</t>
        </is>
      </c>
      <c r="C8" t="n">
        <v>13</v>
      </c>
      <c r="D8" t="inlineStr">
        <is>
          <t>M</t>
        </is>
      </c>
      <c r="E8" t="inlineStr">
        <is>
          <t>M4</t>
        </is>
      </c>
    </row>
    <row r="9">
      <c r="A9" t="inlineStr">
        <is>
          <t>C6L.SI</t>
        </is>
      </c>
      <c r="B9" t="inlineStr">
        <is>
          <t>C6L SP Equity</t>
        </is>
      </c>
      <c r="C9" t="n">
        <v>15</v>
      </c>
      <c r="D9" t="inlineStr">
        <is>
          <t>O</t>
        </is>
      </c>
      <c r="E9" t="inlineStr">
        <is>
          <t>O4</t>
        </is>
      </c>
    </row>
    <row r="10">
      <c r="A10" t="inlineStr">
        <is>
          <t>F34.SI</t>
        </is>
      </c>
      <c r="B10" t="inlineStr">
        <is>
          <t>F34 SP Equity</t>
        </is>
      </c>
      <c r="C10" t="n">
        <v>17</v>
      </c>
      <c r="D10" t="inlineStr">
        <is>
          <t>Q</t>
        </is>
      </c>
      <c r="E10" t="inlineStr">
        <is>
          <t>Q4</t>
        </is>
      </c>
    </row>
    <row r="11">
      <c r="A11" t="inlineStr">
        <is>
          <t>H78.SI</t>
        </is>
      </c>
      <c r="B11" t="inlineStr">
        <is>
          <t>H78 SP Equity</t>
        </is>
      </c>
      <c r="C11" t="n">
        <v>19</v>
      </c>
      <c r="D11" t="inlineStr">
        <is>
          <t>S</t>
        </is>
      </c>
      <c r="E11" t="inlineStr">
        <is>
          <t>S4</t>
        </is>
      </c>
    </row>
    <row r="12">
      <c r="A12" t="inlineStr">
        <is>
          <t>BN4.SI</t>
        </is>
      </c>
      <c r="B12" t="inlineStr">
        <is>
          <t>BN4 SP Equity</t>
        </is>
      </c>
      <c r="C12" t="n">
        <v>21</v>
      </c>
      <c r="D12" t="inlineStr">
        <is>
          <t>U</t>
        </is>
      </c>
      <c r="E12" t="inlineStr">
        <is>
          <t>U4</t>
        </is>
      </c>
    </row>
    <row r="13">
      <c r="A13" t="inlineStr">
        <is>
          <t>C38U.SI</t>
        </is>
      </c>
      <c r="B13" t="inlineStr">
        <is>
          <t>C38U SP Equity</t>
        </is>
      </c>
      <c r="C13" t="n">
        <v>23</v>
      </c>
      <c r="D13" t="inlineStr">
        <is>
          <t>W</t>
        </is>
      </c>
      <c r="E13" t="inlineStr">
        <is>
          <t>W4</t>
        </is>
      </c>
    </row>
    <row r="14">
      <c r="A14" t="inlineStr">
        <is>
          <t>U14.SI</t>
        </is>
      </c>
      <c r="B14" t="inlineStr">
        <is>
          <t>U14 SP Equity</t>
        </is>
      </c>
      <c r="C14" t="n">
        <v>25</v>
      </c>
      <c r="D14" t="inlineStr">
        <is>
          <t>Y</t>
        </is>
      </c>
      <c r="E14" t="inlineStr">
        <is>
          <t>Y4</t>
        </is>
      </c>
    </row>
    <row r="15">
      <c r="A15" t="inlineStr">
        <is>
          <t>5E2.SI</t>
        </is>
      </c>
      <c r="B15" t="inlineStr">
        <is>
          <t>5E2 SP Equity</t>
        </is>
      </c>
      <c r="C15" t="n">
        <v>27</v>
      </c>
      <c r="D15" t="inlineStr">
        <is>
          <t>AA</t>
        </is>
      </c>
      <c r="E15" t="inlineStr">
        <is>
          <t>AA4</t>
        </is>
      </c>
    </row>
    <row r="16">
      <c r="A16" t="inlineStr">
        <is>
          <t>G13.SI</t>
        </is>
      </c>
      <c r="B16" t="inlineStr">
        <is>
          <t>G13 SP Equity</t>
        </is>
      </c>
      <c r="C16" t="n">
        <v>29</v>
      </c>
      <c r="D16" t="inlineStr">
        <is>
          <t>AC</t>
        </is>
      </c>
      <c r="E16" t="inlineStr">
        <is>
          <t>AC4</t>
        </is>
      </c>
    </row>
    <row r="17">
      <c r="A17" t="inlineStr">
        <is>
          <t>S58.SI</t>
        </is>
      </c>
      <c r="B17" t="inlineStr">
        <is>
          <t>S58 SP Equity</t>
        </is>
      </c>
      <c r="C17" t="n">
        <v>31</v>
      </c>
      <c r="D17" t="inlineStr">
        <is>
          <t>AE</t>
        </is>
      </c>
      <c r="E17" t="inlineStr">
        <is>
          <t>AE4</t>
        </is>
      </c>
    </row>
    <row r="18">
      <c r="A18" t="inlineStr">
        <is>
          <t>N2IU.SI</t>
        </is>
      </c>
      <c r="B18" t="inlineStr">
        <is>
          <t>N2IU SP Equity</t>
        </is>
      </c>
      <c r="C18" t="n">
        <v>33</v>
      </c>
      <c r="D18" t="inlineStr">
        <is>
          <t>AG</t>
        </is>
      </c>
      <c r="E18" t="inlineStr">
        <is>
          <t>AG4</t>
        </is>
      </c>
    </row>
    <row r="19">
      <c r="A19" t="inlineStr">
        <is>
          <t>C09.SI</t>
        </is>
      </c>
      <c r="B19" t="inlineStr">
        <is>
          <t>C09 SP Equity</t>
        </is>
      </c>
      <c r="C19" t="n">
        <v>35</v>
      </c>
      <c r="D19" t="inlineStr">
        <is>
          <t>AI</t>
        </is>
      </c>
      <c r="E19" t="inlineStr">
        <is>
          <t>AI4</t>
        </is>
      </c>
    </row>
    <row r="20">
      <c r="A20" t="inlineStr">
        <is>
          <t>D01.SI</t>
        </is>
      </c>
      <c r="B20" t="inlineStr">
        <is>
          <t>D01 SP Equity</t>
        </is>
      </c>
      <c r="C20" t="n">
        <v>37</v>
      </c>
      <c r="D20" t="inlineStr">
        <is>
          <t>AK</t>
        </is>
      </c>
      <c r="E20" t="inlineStr">
        <is>
          <t>AK4</t>
        </is>
      </c>
    </row>
    <row r="21">
      <c r="A21" t="inlineStr">
        <is>
          <t>M44U.SI</t>
        </is>
      </c>
      <c r="B21" t="inlineStr">
        <is>
          <t>M44U SP Equity</t>
        </is>
      </c>
      <c r="C21" t="n">
        <v>39</v>
      </c>
      <c r="D21" t="inlineStr">
        <is>
          <t>AM</t>
        </is>
      </c>
      <c r="E21" t="inlineStr">
        <is>
          <t>AM4</t>
        </is>
      </c>
    </row>
    <row r="22">
      <c r="A22" t="inlineStr">
        <is>
          <t>EB5.SI</t>
        </is>
      </c>
      <c r="B22" t="inlineStr">
        <is>
          <t>EB5 SP Equity</t>
        </is>
      </c>
      <c r="C22" t="n">
        <v>41</v>
      </c>
      <c r="D22" t="inlineStr">
        <is>
          <t>AO</t>
        </is>
      </c>
      <c r="E22" t="inlineStr">
        <is>
          <t>AO4</t>
        </is>
      </c>
    </row>
    <row r="23">
      <c r="A23" t="inlineStr">
        <is>
          <t>ME8U.SI</t>
        </is>
      </c>
      <c r="B23" t="inlineStr">
        <is>
          <t>ME8U SP Equity</t>
        </is>
      </c>
      <c r="C23" t="n">
        <v>43</v>
      </c>
      <c r="D23" t="inlineStr">
        <is>
          <t>AQ</t>
        </is>
      </c>
      <c r="E23" t="inlineStr">
        <is>
          <t>AQ4</t>
        </is>
      </c>
    </row>
    <row r="24">
      <c r="A24" t="inlineStr">
        <is>
          <t>AJBU.SI</t>
        </is>
      </c>
      <c r="B24" t="inlineStr">
        <is>
          <t>AJBU SP Equity</t>
        </is>
      </c>
      <c r="C24" t="n">
        <v>45</v>
      </c>
      <c r="D24" t="inlineStr">
        <is>
          <t>AS</t>
        </is>
      </c>
      <c r="E24" t="inlineStr">
        <is>
          <t>AS4</t>
        </is>
      </c>
    </row>
    <row r="25">
      <c r="A25" t="inlineStr">
        <is>
          <t>VC2.SI</t>
        </is>
      </c>
      <c r="B25" t="inlineStr">
        <is>
          <t>VC2 SP Equity</t>
        </is>
      </c>
      <c r="C25" t="n">
        <v>47</v>
      </c>
      <c r="D25" t="inlineStr">
        <is>
          <t>AU</t>
        </is>
      </c>
      <c r="E25" t="inlineStr">
        <is>
          <t>AU4</t>
        </is>
      </c>
    </row>
    <row r="26">
      <c r="A26" t="inlineStr">
        <is>
          <t>U06.SI</t>
        </is>
      </c>
      <c r="B26" t="inlineStr">
        <is>
          <t>U06 SP Equity</t>
        </is>
      </c>
      <c r="C26" t="n">
        <v>49</v>
      </c>
      <c r="D26" t="inlineStr">
        <is>
          <t>AW</t>
        </is>
      </c>
      <c r="E26" t="inlineStr">
        <is>
          <t>AW4</t>
        </is>
      </c>
    </row>
    <row r="27">
      <c r="A27" t="inlineStr">
        <is>
          <t>OV8.SI</t>
        </is>
      </c>
      <c r="B27" t="inlineStr">
        <is>
          <t>OV8 SP Equity</t>
        </is>
      </c>
      <c r="C27" t="n">
        <v>51</v>
      </c>
      <c r="D27" t="inlineStr">
        <is>
          <t>AY</t>
        </is>
      </c>
      <c r="E27" t="inlineStr">
        <is>
          <t>AY4</t>
        </is>
      </c>
    </row>
    <row r="28">
      <c r="A28" t="inlineStr">
        <is>
          <t>V03.SI</t>
        </is>
      </c>
      <c r="B28" t="inlineStr">
        <is>
          <t>V03 SP Equity</t>
        </is>
      </c>
      <c r="C28" t="n">
        <v>53</v>
      </c>
      <c r="D28" t="inlineStr">
        <is>
          <t>BA</t>
        </is>
      </c>
      <c r="E28" t="inlineStr">
        <is>
          <t>BA4</t>
        </is>
      </c>
    </row>
    <row r="29">
      <c r="A29" t="inlineStr">
        <is>
          <t>J69U.SI</t>
        </is>
      </c>
      <c r="B29" t="inlineStr">
        <is>
          <t>J69U SP Equity</t>
        </is>
      </c>
      <c r="C29" t="n">
        <v>55</v>
      </c>
      <c r="D29" t="inlineStr">
        <is>
          <t>BC</t>
        </is>
      </c>
      <c r="E29" t="inlineStr">
        <is>
          <t>BC4</t>
        </is>
      </c>
    </row>
    <row r="30">
      <c r="A30" t="inlineStr">
        <is>
          <t>T82U.SI</t>
        </is>
      </c>
      <c r="B30" t="inlineStr">
        <is>
          <t>T82U SP Equity</t>
        </is>
      </c>
      <c r="C30" t="n">
        <v>57</v>
      </c>
      <c r="D30" t="inlineStr">
        <is>
          <t>BE</t>
        </is>
      </c>
      <c r="E30" t="inlineStr">
        <is>
          <t>BE4</t>
        </is>
      </c>
    </row>
    <row r="31">
      <c r="A31" t="inlineStr">
        <is>
          <t>K71U.SI</t>
        </is>
      </c>
      <c r="B31" t="inlineStr">
        <is>
          <t>K71U SP Equity</t>
        </is>
      </c>
      <c r="C31" t="n">
        <v>59</v>
      </c>
      <c r="D31" t="inlineStr">
        <is>
          <t>BG</t>
        </is>
      </c>
      <c r="E31" t="inlineStr">
        <is>
          <t>BG4</t>
        </is>
      </c>
    </row>
    <row r="32">
      <c r="A32" t="inlineStr">
        <is>
          <t>U10.SI</t>
        </is>
      </c>
      <c r="B32" t="inlineStr">
        <is>
          <t>U10 SP Equity</t>
        </is>
      </c>
      <c r="C32" t="n">
        <v>61</v>
      </c>
      <c r="D32" t="inlineStr">
        <is>
          <t>BI</t>
        </is>
      </c>
      <c r="E32" t="inlineStr">
        <is>
          <t>BI4</t>
        </is>
      </c>
    </row>
    <row r="33">
      <c r="A33" t="inlineStr">
        <is>
          <t>TQ5.SI</t>
        </is>
      </c>
      <c r="B33" t="inlineStr">
        <is>
          <t>TQ5 SP Equity</t>
        </is>
      </c>
      <c r="C33" t="n">
        <v>63</v>
      </c>
      <c r="D33" t="inlineStr">
        <is>
          <t>BK</t>
        </is>
      </c>
      <c r="E33" t="inlineStr">
        <is>
          <t>BK4</t>
        </is>
      </c>
    </row>
    <row r="34">
      <c r="A34" t="inlineStr">
        <is>
          <t>CJL.SI</t>
        </is>
      </c>
      <c r="B34" t="inlineStr">
        <is>
          <t>CJL SP Equity</t>
        </is>
      </c>
      <c r="C34" t="n">
        <v>65</v>
      </c>
      <c r="D34" t="inlineStr">
        <is>
          <t>BM</t>
        </is>
      </c>
      <c r="E34" t="inlineStr">
        <is>
          <t>BM4</t>
        </is>
      </c>
    </row>
    <row r="35">
      <c r="A35" t="inlineStr">
        <is>
          <t>BUOU.SI</t>
        </is>
      </c>
      <c r="B35" t="inlineStr">
        <is>
          <t>BUOU SP Equity</t>
        </is>
      </c>
      <c r="C35" t="n">
        <v>67</v>
      </c>
      <c r="D35" t="inlineStr">
        <is>
          <t>BO</t>
        </is>
      </c>
      <c r="E35" t="inlineStr">
        <is>
          <t>BO4</t>
        </is>
      </c>
    </row>
    <row r="36">
      <c r="A36" t="inlineStr">
        <is>
          <t>S59.SI</t>
        </is>
      </c>
      <c r="B36" t="inlineStr">
        <is>
          <t>S59 SP Equity</t>
        </is>
      </c>
      <c r="C36" t="n">
        <v>69</v>
      </c>
      <c r="D36" t="inlineStr">
        <is>
          <t>BQ</t>
        </is>
      </c>
      <c r="E36" t="inlineStr">
        <is>
          <t>BQ4</t>
        </is>
      </c>
    </row>
    <row r="37">
      <c r="A37" t="inlineStr">
        <is>
          <t>E5H.SI</t>
        </is>
      </c>
      <c r="B37" t="inlineStr">
        <is>
          <t>E5H SP Equity</t>
        </is>
      </c>
      <c r="C37" t="n">
        <v>71</v>
      </c>
      <c r="D37" t="inlineStr">
        <is>
          <t>BS</t>
        </is>
      </c>
      <c r="E37" t="inlineStr">
        <is>
          <t>BS4</t>
        </is>
      </c>
    </row>
    <row r="38">
      <c r="A38" t="inlineStr">
        <is>
          <t>H02.SI</t>
        </is>
      </c>
      <c r="B38" t="inlineStr">
        <is>
          <t>H02 SP Equity</t>
        </is>
      </c>
      <c r="C38" t="n">
        <v>73</v>
      </c>
      <c r="D38" t="inlineStr">
        <is>
          <t>BU</t>
        </is>
      </c>
      <c r="E38" t="inlineStr">
        <is>
          <t>BU4</t>
        </is>
      </c>
    </row>
    <row r="39">
      <c r="A39" t="inlineStr">
        <is>
          <t>HMN.SI</t>
        </is>
      </c>
      <c r="B39" t="inlineStr">
        <is>
          <t>HMN SP Equity</t>
        </is>
      </c>
      <c r="C39" t="n">
        <v>75</v>
      </c>
      <c r="D39" t="inlineStr">
        <is>
          <t>BW</t>
        </is>
      </c>
      <c r="E39" t="inlineStr">
        <is>
          <t>BW4</t>
        </is>
      </c>
    </row>
    <row r="40">
      <c r="A40" t="inlineStr">
        <is>
          <t>A7RU.SI</t>
        </is>
      </c>
      <c r="B40" t="inlineStr">
        <is>
          <t>A7RU SP Equity</t>
        </is>
      </c>
      <c r="C40" t="n">
        <v>77</v>
      </c>
      <c r="D40" t="inlineStr">
        <is>
          <t>BY</t>
        </is>
      </c>
      <c r="E40" t="inlineStr">
        <is>
          <t>BY4</t>
        </is>
      </c>
    </row>
    <row r="41">
      <c r="A41" t="inlineStr">
        <is>
          <t>P8Z.SI</t>
        </is>
      </c>
      <c r="B41" t="inlineStr">
        <is>
          <t>P8Z SP Equity</t>
        </is>
      </c>
      <c r="C41" t="n">
        <v>79</v>
      </c>
      <c r="D41" t="inlineStr">
        <is>
          <t>CA</t>
        </is>
      </c>
      <c r="E41" t="inlineStr">
        <is>
          <t>CA4</t>
        </is>
      </c>
    </row>
    <row r="42">
      <c r="A42" t="inlineStr">
        <is>
          <t>C52.SI</t>
        </is>
      </c>
      <c r="B42" t="inlineStr">
        <is>
          <t>C52 SP Equity</t>
        </is>
      </c>
      <c r="C42" t="n">
        <v>81</v>
      </c>
      <c r="D42" t="inlineStr">
        <is>
          <t>CC</t>
        </is>
      </c>
      <c r="E42" t="inlineStr">
        <is>
          <t>CC4</t>
        </is>
      </c>
    </row>
    <row r="43">
      <c r="A43" t="inlineStr">
        <is>
          <t>AWX.SI</t>
        </is>
      </c>
      <c r="B43" t="inlineStr">
        <is>
          <t>AWX SP Equity</t>
        </is>
      </c>
      <c r="C43" t="n">
        <v>83</v>
      </c>
      <c r="D43" t="inlineStr">
        <is>
          <t>CE</t>
        </is>
      </c>
      <c r="E43" t="inlineStr">
        <is>
          <t>CE4</t>
        </is>
      </c>
    </row>
    <row r="44">
      <c r="A44" t="inlineStr">
        <is>
          <t>AIY.SI</t>
        </is>
      </c>
      <c r="B44" t="inlineStr">
        <is>
          <t>AIY SP Equity</t>
        </is>
      </c>
      <c r="C44" t="n">
        <v>85</v>
      </c>
      <c r="D44" t="inlineStr">
        <is>
          <t>CG</t>
        </is>
      </c>
      <c r="E44" t="inlineStr">
        <is>
          <t>CG4</t>
        </is>
      </c>
    </row>
    <row r="45">
      <c r="A45" t="inlineStr">
        <is>
          <t>C2PU.SI</t>
        </is>
      </c>
      <c r="B45" t="inlineStr">
        <is>
          <t>C2PU SP Equity</t>
        </is>
      </c>
      <c r="C45" t="n">
        <v>87</v>
      </c>
      <c r="D45" t="inlineStr">
        <is>
          <t>CI</t>
        </is>
      </c>
      <c r="E45" t="inlineStr">
        <is>
          <t>CI4</t>
        </is>
      </c>
    </row>
    <row r="46">
      <c r="A46" t="inlineStr">
        <is>
          <t>F17.SI</t>
        </is>
      </c>
      <c r="B46" t="inlineStr">
        <is>
          <t>F17 SP Equity</t>
        </is>
      </c>
      <c r="C46" t="n">
        <v>89</v>
      </c>
      <c r="D46" t="inlineStr">
        <is>
          <t>CK</t>
        </is>
      </c>
      <c r="E46" t="inlineStr">
        <is>
          <t>CK4</t>
        </is>
      </c>
    </row>
    <row r="47">
      <c r="A47" t="inlineStr">
        <is>
          <t>H15.SI</t>
        </is>
      </c>
      <c r="B47" t="inlineStr">
        <is>
          <t>H15 SP Equity</t>
        </is>
      </c>
      <c r="C47" t="n">
        <v>91</v>
      </c>
      <c r="D47" t="inlineStr">
        <is>
          <t>CM</t>
        </is>
      </c>
      <c r="E47" t="inlineStr">
        <is>
          <t>CM4</t>
        </is>
      </c>
    </row>
    <row r="48">
      <c r="A48" t="inlineStr">
        <is>
          <t>H22.SI</t>
        </is>
      </c>
      <c r="B48" t="inlineStr">
        <is>
          <t>H22 SP Equity</t>
        </is>
      </c>
      <c r="C48" t="n">
        <v>93</v>
      </c>
      <c r="D48" t="inlineStr">
        <is>
          <t>CO</t>
        </is>
      </c>
      <c r="E48" t="inlineStr">
        <is>
          <t>CO4</t>
        </is>
      </c>
    </row>
    <row r="49">
      <c r="A49" t="inlineStr">
        <is>
          <t>558.SI</t>
        </is>
      </c>
      <c r="B49" t="inlineStr">
        <is>
          <t>558 SP Equity</t>
        </is>
      </c>
      <c r="C49" t="n">
        <v>95</v>
      </c>
      <c r="D49" t="inlineStr">
        <is>
          <t>CQ</t>
        </is>
      </c>
      <c r="E49" t="inlineStr">
        <is>
          <t>CQ4</t>
        </is>
      </c>
    </row>
    <row r="50">
      <c r="A50" t="inlineStr">
        <is>
          <t>NS8U.SI</t>
        </is>
      </c>
      <c r="B50" t="inlineStr">
        <is>
          <t>NS8U SP Equity</t>
        </is>
      </c>
      <c r="C50" t="n">
        <v>97</v>
      </c>
      <c r="D50" t="inlineStr">
        <is>
          <t>CS</t>
        </is>
      </c>
      <c r="E50" t="inlineStr">
        <is>
          <t>CS4</t>
        </is>
      </c>
    </row>
    <row r="51">
      <c r="A51" t="inlineStr">
        <is>
          <t>8Y.SI</t>
        </is>
      </c>
      <c r="B51" t="inlineStr">
        <is>
          <t>8Y SP Equity</t>
        </is>
      </c>
      <c r="C51" t="n">
        <v>99</v>
      </c>
      <c r="D51" t="inlineStr">
        <is>
          <t>CU</t>
        </is>
      </c>
      <c r="E51" t="inlineStr">
        <is>
          <t>CU4</t>
        </is>
      </c>
    </row>
    <row r="52">
      <c r="A52" t="inlineStr">
        <is>
          <t>F99.SI</t>
        </is>
      </c>
      <c r="B52" t="inlineStr">
        <is>
          <t>F99 SP Equity</t>
        </is>
      </c>
      <c r="C52" t="n">
        <v>101</v>
      </c>
      <c r="D52" t="inlineStr">
        <is>
          <t>CW</t>
        </is>
      </c>
      <c r="E52" t="inlineStr">
        <is>
          <t>CW4</t>
        </is>
      </c>
    </row>
    <row r="53">
      <c r="A53" t="inlineStr">
        <is>
          <t>TS0U.SI</t>
        </is>
      </c>
      <c r="B53" t="inlineStr">
        <is>
          <t>TS0U SP Equity</t>
        </is>
      </c>
      <c r="C53" t="n">
        <v>103</v>
      </c>
      <c r="D53" t="inlineStr">
        <is>
          <t>CY</t>
        </is>
      </c>
      <c r="E53" t="inlineStr">
        <is>
          <t>CY4</t>
        </is>
      </c>
    </row>
    <row r="54">
      <c r="A54" t="inlineStr">
        <is>
          <t>9A4U.SI</t>
        </is>
      </c>
      <c r="B54" t="inlineStr">
        <is>
          <t>9A4U SP Equity</t>
        </is>
      </c>
      <c r="C54" t="n">
        <v>105</v>
      </c>
      <c r="D54" t="inlineStr">
        <is>
          <t>DA</t>
        </is>
      </c>
      <c r="E54" t="inlineStr">
        <is>
          <t>DA4</t>
        </is>
      </c>
    </row>
    <row r="55">
      <c r="A55" t="inlineStr">
        <is>
          <t>8C8U.SI</t>
        </is>
      </c>
      <c r="B55" t="inlineStr">
        <is>
          <t>8C8U SP Equity</t>
        </is>
      </c>
      <c r="C55" t="n">
        <v>107</v>
      </c>
      <c r="D55" t="inlineStr">
        <is>
          <t>DC</t>
        </is>
      </c>
      <c r="E55" t="inlineStr">
        <is>
          <t>DC4</t>
        </is>
      </c>
    </row>
    <row r="56">
      <c r="A56" t="inlineStr">
        <is>
          <t>SEB.SI</t>
        </is>
      </c>
      <c r="B56" t="inlineStr">
        <is>
          <t>SEB SP Equity</t>
        </is>
      </c>
      <c r="C56" t="n">
        <v>109</v>
      </c>
      <c r="D56" t="inlineStr">
        <is>
          <t>DE</t>
        </is>
      </c>
      <c r="E56" t="inlineStr">
        <is>
          <t>DE4</t>
        </is>
      </c>
    </row>
    <row r="57">
      <c r="A57" t="inlineStr">
        <is>
          <t>Z25.SI</t>
        </is>
      </c>
      <c r="B57" t="inlineStr">
        <is>
          <t>Z25 SP Equity</t>
        </is>
      </c>
      <c r="C57" t="n">
        <v>111</v>
      </c>
      <c r="D57" t="inlineStr">
        <is>
          <t>DG</t>
        </is>
      </c>
      <c r="E57" t="inlineStr">
        <is>
          <t>DG4</t>
        </is>
      </c>
    </row>
    <row r="58">
      <c r="A58" t="inlineStr">
        <is>
          <t>AP4.SI</t>
        </is>
      </c>
      <c r="B58" t="inlineStr">
        <is>
          <t>AP4 SP Equity</t>
        </is>
      </c>
      <c r="C58" t="n">
        <v>113</v>
      </c>
      <c r="D58" t="inlineStr">
        <is>
          <t>DI</t>
        </is>
      </c>
      <c r="E58" t="inlineStr">
        <is>
          <t>DI4</t>
        </is>
      </c>
    </row>
    <row r="59">
      <c r="A59" t="inlineStr">
        <is>
          <t>P40U.SI</t>
        </is>
      </c>
      <c r="B59" t="inlineStr">
        <is>
          <t>P40U SP Equity</t>
        </is>
      </c>
      <c r="C59" t="n">
        <v>115</v>
      </c>
      <c r="D59" t="inlineStr">
        <is>
          <t>DK</t>
        </is>
      </c>
      <c r="E59" t="inlineStr">
        <is>
          <t>DK4</t>
        </is>
      </c>
    </row>
    <row r="60">
      <c r="A60" t="inlineStr">
        <is>
          <t>B61.SI</t>
        </is>
      </c>
      <c r="B60" t="inlineStr">
        <is>
          <t>B61 SP Equity</t>
        </is>
      </c>
      <c r="C60" t="n">
        <v>117</v>
      </c>
      <c r="D60" t="inlineStr">
        <is>
          <t>DM</t>
        </is>
      </c>
      <c r="E60" t="inlineStr">
        <is>
          <t>DM4</t>
        </is>
      </c>
    </row>
    <row r="61">
      <c r="A61" t="inlineStr">
        <is>
          <t>NTDU.SI</t>
        </is>
      </c>
      <c r="B61" t="inlineStr">
        <is>
          <t>NTDU SP Equity</t>
        </is>
      </c>
      <c r="C61" t="n">
        <v>119</v>
      </c>
      <c r="D61" t="inlineStr">
        <is>
          <t>DO</t>
        </is>
      </c>
      <c r="E61" t="inlineStr">
        <is>
          <t>DO4</t>
        </is>
      </c>
    </row>
    <row r="62">
      <c r="A62" t="inlineStr">
        <is>
          <t>W05.SI</t>
        </is>
      </c>
      <c r="B62" t="inlineStr">
        <is>
          <t>W05 SP Equity</t>
        </is>
      </c>
      <c r="C62" t="n">
        <v>121</v>
      </c>
      <c r="D62" t="inlineStr">
        <is>
          <t>DQ</t>
        </is>
      </c>
      <c r="E62" t="inlineStr">
        <is>
          <t>DQ4</t>
        </is>
      </c>
    </row>
    <row r="63">
      <c r="A63" t="inlineStr">
        <is>
          <t>Q5T.SI</t>
        </is>
      </c>
      <c r="B63" t="inlineStr">
        <is>
          <t>Q5T SP Equity</t>
        </is>
      </c>
      <c r="C63" t="n">
        <v>123</v>
      </c>
      <c r="D63" t="inlineStr">
        <is>
          <t>DS</t>
        </is>
      </c>
      <c r="E63" t="inlineStr">
        <is>
          <t>DS4</t>
        </is>
      </c>
    </row>
    <row r="64">
      <c r="A64" t="inlineStr">
        <is>
          <t>BEC.SI</t>
        </is>
      </c>
      <c r="B64" t="inlineStr">
        <is>
          <t>BEC SP Equity</t>
        </is>
      </c>
      <c r="C64" t="n">
        <v>125</v>
      </c>
      <c r="D64" t="inlineStr">
        <is>
          <t>DU</t>
        </is>
      </c>
      <c r="E64" t="inlineStr">
        <is>
          <t>DU4</t>
        </is>
      </c>
    </row>
    <row r="65">
      <c r="A65" t="inlineStr">
        <is>
          <t>E28.SI</t>
        </is>
      </c>
      <c r="B65" t="inlineStr">
        <is>
          <t>E28 SP Equity</t>
        </is>
      </c>
      <c r="C65" t="n">
        <v>127</v>
      </c>
      <c r="D65" t="inlineStr">
        <is>
          <t>DW</t>
        </is>
      </c>
      <c r="E65" t="inlineStr">
        <is>
          <t>DW4</t>
        </is>
      </c>
    </row>
    <row r="66">
      <c r="A66" t="inlineStr">
        <is>
          <t>UIBU.SI</t>
        </is>
      </c>
      <c r="B66" t="inlineStr">
        <is>
          <t>UIBU SP Equity</t>
        </is>
      </c>
      <c r="C66" t="n">
        <v>129</v>
      </c>
      <c r="D66" t="inlineStr">
        <is>
          <t>DY</t>
        </is>
      </c>
      <c r="E66" t="inlineStr">
        <is>
          <t>DY4</t>
        </is>
      </c>
    </row>
    <row r="67">
      <c r="A67" t="inlineStr">
        <is>
          <t>AU8U.SI</t>
        </is>
      </c>
      <c r="B67" t="inlineStr">
        <is>
          <t>AU8U SP Equity</t>
        </is>
      </c>
      <c r="C67" t="n">
        <v>131</v>
      </c>
      <c r="D67" t="inlineStr">
        <is>
          <t>EA</t>
        </is>
      </c>
      <c r="E67" t="inlineStr">
        <is>
          <t>EA4</t>
        </is>
      </c>
    </row>
    <row r="68">
      <c r="A68" t="inlineStr">
        <is>
          <t>P52.SI</t>
        </is>
      </c>
      <c r="B68" t="inlineStr">
        <is>
          <t>P52 SP Equity</t>
        </is>
      </c>
      <c r="C68" t="n">
        <v>133</v>
      </c>
      <c r="D68" t="inlineStr">
        <is>
          <t>EC</t>
        </is>
      </c>
      <c r="E68" t="inlineStr">
        <is>
          <t>EC4</t>
        </is>
      </c>
    </row>
    <row r="69">
      <c r="A69" t="inlineStr">
        <is>
          <t>S41.SI</t>
        </is>
      </c>
      <c r="B69" t="inlineStr">
        <is>
          <t>S41 SP Equity</t>
        </is>
      </c>
      <c r="C69" t="n">
        <v>135</v>
      </c>
      <c r="D69" t="inlineStr">
        <is>
          <t>EE</t>
        </is>
      </c>
      <c r="E69" t="inlineStr">
        <is>
          <t>EE4</t>
        </is>
      </c>
    </row>
    <row r="70">
      <c r="A70" t="inlineStr">
        <is>
          <t>S61.SI</t>
        </is>
      </c>
      <c r="B70" t="inlineStr">
        <is>
          <t>S61 SP Equity</t>
        </is>
      </c>
      <c r="C70" t="n">
        <v>137</v>
      </c>
      <c r="D70" t="inlineStr">
        <is>
          <t>EG</t>
        </is>
      </c>
      <c r="E70" t="inlineStr">
        <is>
          <t>EG4</t>
        </is>
      </c>
    </row>
    <row r="71">
      <c r="A71" t="inlineStr">
        <is>
          <t>PCT.SI</t>
        </is>
      </c>
      <c r="B71" t="inlineStr">
        <is>
          <t>PCT SP Equity</t>
        </is>
      </c>
      <c r="C71" t="n">
        <v>139</v>
      </c>
      <c r="D71" t="inlineStr">
        <is>
          <t>EI</t>
        </is>
      </c>
      <c r="E71" t="inlineStr">
        <is>
          <t>EI4</t>
        </is>
      </c>
    </row>
    <row r="72">
      <c r="A72" t="inlineStr">
        <is>
          <t>ADN.SI</t>
        </is>
      </c>
      <c r="B72" t="inlineStr">
        <is>
          <t>ADN SP Equity</t>
        </is>
      </c>
      <c r="C72" t="n">
        <v>141</v>
      </c>
      <c r="D72" t="inlineStr">
        <is>
          <t>EK</t>
        </is>
      </c>
      <c r="E72" t="inlineStr">
        <is>
          <t>EK4</t>
        </is>
      </c>
    </row>
    <row r="73">
      <c r="A73" t="inlineStr">
        <is>
          <t>F9D.SI</t>
        </is>
      </c>
      <c r="B73" t="inlineStr">
        <is>
          <t>F9D SP Equity</t>
        </is>
      </c>
      <c r="C73" t="n">
        <v>143</v>
      </c>
      <c r="D73" t="inlineStr">
        <is>
          <t>EM</t>
        </is>
      </c>
      <c r="E73" t="inlineStr">
        <is>
          <t>EM4</t>
        </is>
      </c>
    </row>
    <row r="74">
      <c r="A74" t="inlineStr">
        <is>
          <t>FHH.SI</t>
        </is>
      </c>
      <c r="B74" t="inlineStr">
        <is>
          <t>FHH SP Equity</t>
        </is>
      </c>
      <c r="C74" t="n">
        <v>145</v>
      </c>
      <c r="D74" t="inlineStr">
        <is>
          <t>EO</t>
        </is>
      </c>
      <c r="E74" t="inlineStr">
        <is>
          <t>EO4</t>
        </is>
      </c>
    </row>
    <row r="75">
      <c r="A75" t="inlineStr">
        <is>
          <t>J85.SI</t>
        </is>
      </c>
      <c r="B75" t="inlineStr">
        <is>
          <t>J85 SP Equity</t>
        </is>
      </c>
      <c r="C75" t="n">
        <v>147</v>
      </c>
      <c r="D75" t="inlineStr">
        <is>
          <t>EQ</t>
        </is>
      </c>
      <c r="E75" t="inlineStr">
        <is>
          <t>EQ4</t>
        </is>
      </c>
    </row>
    <row r="76">
      <c r="A76" t="inlineStr">
        <is>
          <t>T6I.SI</t>
        </is>
      </c>
      <c r="B76" t="inlineStr">
        <is>
          <t>T6I SP Equity</t>
        </is>
      </c>
      <c r="C76" t="n">
        <v>149</v>
      </c>
      <c r="D76" t="inlineStr">
        <is>
          <t>ES</t>
        </is>
      </c>
      <c r="E76" t="inlineStr">
        <is>
          <t>ES4</t>
        </is>
      </c>
    </row>
    <row r="77">
      <c r="A77" t="inlineStr">
        <is>
          <t>RE4.SI</t>
        </is>
      </c>
      <c r="B77" t="inlineStr">
        <is>
          <t>RE4 SP Equity</t>
        </is>
      </c>
      <c r="C77" t="n">
        <v>151</v>
      </c>
      <c r="D77" t="inlineStr">
        <is>
          <t>EU</t>
        </is>
      </c>
      <c r="E77" t="inlineStr">
        <is>
          <t>EU4</t>
        </is>
      </c>
    </row>
    <row r="78">
      <c r="A78" t="inlineStr">
        <is>
          <t>544.SI</t>
        </is>
      </c>
      <c r="B78" t="inlineStr">
        <is>
          <t>544 SP Equity</t>
        </is>
      </c>
      <c r="C78" t="n">
        <v>153</v>
      </c>
      <c r="D78" t="inlineStr">
        <is>
          <t>EW</t>
        </is>
      </c>
      <c r="E78" t="inlineStr">
        <is>
          <t>EW4</t>
        </is>
      </c>
    </row>
    <row r="79">
      <c r="A79" t="inlineStr">
        <is>
          <t>CRPU.SI</t>
        </is>
      </c>
      <c r="B79" t="inlineStr">
        <is>
          <t>CRPU SP Equity</t>
        </is>
      </c>
      <c r="C79" t="n">
        <v>155</v>
      </c>
      <c r="D79" t="inlineStr">
        <is>
          <t>EY</t>
        </is>
      </c>
      <c r="E79" t="inlineStr">
        <is>
          <t>EY4</t>
        </is>
      </c>
    </row>
    <row r="80">
      <c r="A80" t="inlineStr">
        <is>
          <t>DCRU.SI</t>
        </is>
      </c>
      <c r="B80" t="inlineStr">
        <is>
          <t>DCRU SP Equity</t>
        </is>
      </c>
      <c r="C80" t="n">
        <v>157</v>
      </c>
      <c r="D80" t="inlineStr">
        <is>
          <t>FA</t>
        </is>
      </c>
      <c r="E80" t="inlineStr">
        <is>
          <t>FA4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Book sheet notes</t>
        </is>
      </c>
    </row>
    <row r="2">
      <c r="A2" t="inlineStr">
        <is>
          <t>WHY YOU SAW 'Enumeration Error' WITH BQ:</t>
        </is>
      </c>
    </row>
    <row r="3">
      <c r="A3" t="inlineStr">
        <is>
          <t xml:space="preserve">  Bloomberg BDH periodicity must be D / W / M / Q / Y (or CQ / FY etc.).</t>
        </is>
      </c>
    </row>
    <row r="4">
      <c r="A4" t="inlineStr">
        <is>
          <t xml:space="preserve">  'BQ' is NOT valid → Enumeration Error. This template now uses Per=M.</t>
        </is>
      </c>
    </row>
    <row r="5">
      <c r="A5" t="inlineStr"/>
    </row>
    <row r="6">
      <c r="A6" t="inlineStr">
        <is>
          <t>DATES: every ticker has its own Date column (Dts=S), not only DBS.</t>
        </is>
      </c>
    </row>
    <row r="7">
      <c r="A7" t="inlineStr">
        <is>
          <t>Field: BOOK_VAL_PER_SH, Period: M (monthly).</t>
        </is>
      </c>
    </row>
    <row r="8">
      <c r="A8" t="inlineStr">
        <is>
          <t>See Book_Index for column map. bbg_to_csv.py merges blocks → book_data.csv.</t>
        </is>
      </c>
    </row>
    <row r="9">
      <c r="A9" t="inlineStr">
        <is>
          <t>Fundamentals may only update quarterly; monthly series can repeat last report.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</cols>
  <sheetData>
    <row r="1">
      <c r="A1" s="8" t="inlineStr">
        <is>
          <t>Ticker</t>
        </is>
      </c>
      <c r="B1" s="8" t="inlineStr">
        <is>
          <t>sector</t>
        </is>
      </c>
      <c r="C1" s="8" t="inlineStr">
        <is>
          <t>market_cap</t>
        </is>
      </c>
    </row>
    <row r="2">
      <c r="A2" t="inlineStr">
        <is>
          <t>D05.SI</t>
        </is>
      </c>
      <c r="B2">
        <f>BDP(Universe!B2,"GICS_SECTOR_NAME")</f>
        <v/>
      </c>
      <c r="C2">
        <f>BDP(Universe!B2,"CUR_MKT_CAP")</f>
        <v/>
      </c>
    </row>
    <row r="3">
      <c r="A3" t="inlineStr">
        <is>
          <t>O39.SI</t>
        </is>
      </c>
      <c r="B3">
        <f>BDP(Universe!B3,"GICS_SECTOR_NAME")</f>
        <v/>
      </c>
      <c r="C3">
        <f>BDP(Universe!B3,"CUR_MKT_CAP")</f>
        <v/>
      </c>
    </row>
    <row r="4">
      <c r="A4" t="inlineStr">
        <is>
          <t>Z74.SI</t>
        </is>
      </c>
      <c r="B4">
        <f>BDP(Universe!B4,"GICS_SECTOR_NAME")</f>
        <v/>
      </c>
      <c r="C4">
        <f>BDP(Universe!B4,"CUR_MKT_CAP")</f>
        <v/>
      </c>
    </row>
    <row r="5">
      <c r="A5" t="inlineStr">
        <is>
          <t>U11.SI</t>
        </is>
      </c>
      <c r="B5">
        <f>BDP(Universe!B5,"GICS_SECTOR_NAME")</f>
        <v/>
      </c>
      <c r="C5">
        <f>BDP(Universe!B5,"CUR_MKT_CAP")</f>
        <v/>
      </c>
    </row>
    <row r="6">
      <c r="A6" t="inlineStr">
        <is>
          <t>S63.SI</t>
        </is>
      </c>
      <c r="B6">
        <f>BDP(Universe!B6,"GICS_SECTOR_NAME")</f>
        <v/>
      </c>
      <c r="C6">
        <f>BDP(Universe!B6,"CUR_MKT_CAP")</f>
        <v/>
      </c>
    </row>
    <row r="7">
      <c r="A7" t="inlineStr">
        <is>
          <t>S68.SI</t>
        </is>
      </c>
      <c r="B7">
        <f>BDP(Universe!B7,"GICS_SECTOR_NAME")</f>
        <v/>
      </c>
      <c r="C7">
        <f>BDP(Universe!B7,"CUR_MKT_CAP")</f>
        <v/>
      </c>
    </row>
    <row r="8">
      <c r="A8" t="inlineStr">
        <is>
          <t>J36.SI</t>
        </is>
      </c>
      <c r="B8">
        <f>BDP(Universe!B8,"GICS_SECTOR_NAME")</f>
        <v/>
      </c>
      <c r="C8">
        <f>BDP(Universe!B8,"CUR_MKT_CAP")</f>
        <v/>
      </c>
    </row>
    <row r="9">
      <c r="A9" t="inlineStr">
        <is>
          <t>C6L.SI</t>
        </is>
      </c>
      <c r="B9">
        <f>BDP(Universe!B9,"GICS_SECTOR_NAME")</f>
        <v/>
      </c>
      <c r="C9">
        <f>BDP(Universe!B9,"CUR_MKT_CAP")</f>
        <v/>
      </c>
    </row>
    <row r="10">
      <c r="A10" t="inlineStr">
        <is>
          <t>F34.SI</t>
        </is>
      </c>
      <c r="B10">
        <f>BDP(Universe!B10,"GICS_SECTOR_NAME")</f>
        <v/>
      </c>
      <c r="C10">
        <f>BDP(Universe!B10,"CUR_MKT_CAP")</f>
        <v/>
      </c>
    </row>
    <row r="11">
      <c r="A11" t="inlineStr">
        <is>
          <t>H78.SI</t>
        </is>
      </c>
      <c r="B11">
        <f>BDP(Universe!B11,"GICS_SECTOR_NAME")</f>
        <v/>
      </c>
      <c r="C11">
        <f>BDP(Universe!B11,"CUR_MKT_CAP")</f>
        <v/>
      </c>
    </row>
    <row r="12">
      <c r="A12" t="inlineStr">
        <is>
          <t>BN4.SI</t>
        </is>
      </c>
      <c r="B12">
        <f>BDP(Universe!B12,"GICS_SECTOR_NAME")</f>
        <v/>
      </c>
      <c r="C12">
        <f>BDP(Universe!B12,"CUR_MKT_CAP")</f>
        <v/>
      </c>
    </row>
    <row r="13">
      <c r="A13" t="inlineStr">
        <is>
          <t>C38U.SI</t>
        </is>
      </c>
      <c r="B13">
        <f>BDP(Universe!B13,"GICS_SECTOR_NAME")</f>
        <v/>
      </c>
      <c r="C13">
        <f>BDP(Universe!B13,"CUR_MKT_CAP")</f>
        <v/>
      </c>
    </row>
    <row r="14">
      <c r="A14" t="inlineStr">
        <is>
          <t>U14.SI</t>
        </is>
      </c>
      <c r="B14">
        <f>BDP(Universe!B14,"GICS_SECTOR_NAME")</f>
        <v/>
      </c>
      <c r="C14">
        <f>BDP(Universe!B14,"CUR_MKT_CAP")</f>
        <v/>
      </c>
    </row>
    <row r="15">
      <c r="A15" t="inlineStr">
        <is>
          <t>5E2.SI</t>
        </is>
      </c>
      <c r="B15">
        <f>BDP(Universe!B15,"GICS_SECTOR_NAME")</f>
        <v/>
      </c>
      <c r="C15">
        <f>BDP(Universe!B15,"CUR_MKT_CAP")</f>
        <v/>
      </c>
    </row>
    <row r="16">
      <c r="A16" t="inlineStr">
        <is>
          <t>G13.SI</t>
        </is>
      </c>
      <c r="B16">
        <f>BDP(Universe!B16,"GICS_SECTOR_NAME")</f>
        <v/>
      </c>
      <c r="C16">
        <f>BDP(Universe!B16,"CUR_MKT_CAP")</f>
        <v/>
      </c>
    </row>
    <row r="17">
      <c r="A17" t="inlineStr">
        <is>
          <t>S58.SI</t>
        </is>
      </c>
      <c r="B17">
        <f>BDP(Universe!B17,"GICS_SECTOR_NAME")</f>
        <v/>
      </c>
      <c r="C17">
        <f>BDP(Universe!B17,"CUR_MKT_CAP")</f>
        <v/>
      </c>
    </row>
    <row r="18">
      <c r="A18" t="inlineStr">
        <is>
          <t>N2IU.SI</t>
        </is>
      </c>
      <c r="B18">
        <f>BDP(Universe!B18,"GICS_SECTOR_NAME")</f>
        <v/>
      </c>
      <c r="C18">
        <f>BDP(Universe!B18,"CUR_MKT_CAP")</f>
        <v/>
      </c>
    </row>
    <row r="19">
      <c r="A19" t="inlineStr">
        <is>
          <t>C09.SI</t>
        </is>
      </c>
      <c r="B19">
        <f>BDP(Universe!B19,"GICS_SECTOR_NAME")</f>
        <v/>
      </c>
      <c r="C19">
        <f>BDP(Universe!B19,"CUR_MKT_CAP")</f>
        <v/>
      </c>
    </row>
    <row r="20">
      <c r="A20" t="inlineStr">
        <is>
          <t>D01.SI</t>
        </is>
      </c>
      <c r="B20">
        <f>BDP(Universe!B20,"GICS_SECTOR_NAME")</f>
        <v/>
      </c>
      <c r="C20">
        <f>BDP(Universe!B20,"CUR_MKT_CAP")</f>
        <v/>
      </c>
    </row>
    <row r="21">
      <c r="A21" t="inlineStr">
        <is>
          <t>M44U.SI</t>
        </is>
      </c>
      <c r="B21">
        <f>BDP(Universe!B21,"GICS_SECTOR_NAME")</f>
        <v/>
      </c>
      <c r="C21">
        <f>BDP(Universe!B21,"CUR_MKT_CAP")</f>
        <v/>
      </c>
    </row>
    <row r="22">
      <c r="A22" t="inlineStr">
        <is>
          <t>EB5.SI</t>
        </is>
      </c>
      <c r="B22">
        <f>BDP(Universe!B22,"GICS_SECTOR_NAME")</f>
        <v/>
      </c>
      <c r="C22">
        <f>BDP(Universe!B22,"CUR_MKT_CAP")</f>
        <v/>
      </c>
    </row>
    <row r="23">
      <c r="A23" t="inlineStr">
        <is>
          <t>ME8U.SI</t>
        </is>
      </c>
      <c r="B23">
        <f>BDP(Universe!B23,"GICS_SECTOR_NAME")</f>
        <v/>
      </c>
      <c r="C23">
        <f>BDP(Universe!B23,"CUR_MKT_CAP")</f>
        <v/>
      </c>
    </row>
    <row r="24">
      <c r="A24" t="inlineStr">
        <is>
          <t>AJBU.SI</t>
        </is>
      </c>
      <c r="B24">
        <f>BDP(Universe!B24,"GICS_SECTOR_NAME")</f>
        <v/>
      </c>
      <c r="C24">
        <f>BDP(Universe!B24,"CUR_MKT_CAP")</f>
        <v/>
      </c>
    </row>
    <row r="25">
      <c r="A25" t="inlineStr">
        <is>
          <t>VC2.SI</t>
        </is>
      </c>
      <c r="B25">
        <f>BDP(Universe!B25,"GICS_SECTOR_NAME")</f>
        <v/>
      </c>
      <c r="C25">
        <f>BDP(Universe!B25,"CUR_MKT_CAP")</f>
        <v/>
      </c>
    </row>
    <row r="26">
      <c r="A26" t="inlineStr">
        <is>
          <t>U06.SI</t>
        </is>
      </c>
      <c r="B26">
        <f>BDP(Universe!B26,"GICS_SECTOR_NAME")</f>
        <v/>
      </c>
      <c r="C26">
        <f>BDP(Universe!B26,"CUR_MKT_CAP")</f>
        <v/>
      </c>
    </row>
    <row r="27">
      <c r="A27" t="inlineStr">
        <is>
          <t>OV8.SI</t>
        </is>
      </c>
      <c r="B27">
        <f>BDP(Universe!B27,"GICS_SECTOR_NAME")</f>
        <v/>
      </c>
      <c r="C27">
        <f>BDP(Universe!B27,"CUR_MKT_CAP")</f>
        <v/>
      </c>
    </row>
    <row r="28">
      <c r="A28" t="inlineStr">
        <is>
          <t>V03.SI</t>
        </is>
      </c>
      <c r="B28">
        <f>BDP(Universe!B28,"GICS_SECTOR_NAME")</f>
        <v/>
      </c>
      <c r="C28">
        <f>BDP(Universe!B28,"CUR_MKT_CAP")</f>
        <v/>
      </c>
    </row>
    <row r="29">
      <c r="A29" t="inlineStr">
        <is>
          <t>J69U.SI</t>
        </is>
      </c>
      <c r="B29">
        <f>BDP(Universe!B29,"GICS_SECTOR_NAME")</f>
        <v/>
      </c>
      <c r="C29">
        <f>BDP(Universe!B29,"CUR_MKT_CAP")</f>
        <v/>
      </c>
    </row>
    <row r="30">
      <c r="A30" t="inlineStr">
        <is>
          <t>T82U.SI</t>
        </is>
      </c>
      <c r="B30">
        <f>BDP(Universe!B30,"GICS_SECTOR_NAME")</f>
        <v/>
      </c>
      <c r="C30">
        <f>BDP(Universe!B30,"CUR_MKT_CAP")</f>
        <v/>
      </c>
    </row>
    <row r="31">
      <c r="A31" t="inlineStr">
        <is>
          <t>K71U.SI</t>
        </is>
      </c>
      <c r="B31">
        <f>BDP(Universe!B31,"GICS_SECTOR_NAME")</f>
        <v/>
      </c>
      <c r="C31">
        <f>BDP(Universe!B31,"CUR_MKT_CAP")</f>
        <v/>
      </c>
    </row>
    <row r="32">
      <c r="A32" t="inlineStr">
        <is>
          <t>U10.SI</t>
        </is>
      </c>
      <c r="B32">
        <f>BDP(Universe!B32,"GICS_SECTOR_NAME")</f>
        <v/>
      </c>
      <c r="C32">
        <f>BDP(Universe!B32,"CUR_MKT_CAP")</f>
        <v/>
      </c>
    </row>
    <row r="33">
      <c r="A33" t="inlineStr">
        <is>
          <t>TQ5.SI</t>
        </is>
      </c>
      <c r="B33">
        <f>BDP(Universe!B33,"GICS_SECTOR_NAME")</f>
        <v/>
      </c>
      <c r="C33">
        <f>BDP(Universe!B33,"CUR_MKT_CAP")</f>
        <v/>
      </c>
    </row>
    <row r="34">
      <c r="A34" t="inlineStr">
        <is>
          <t>CJL.SI</t>
        </is>
      </c>
      <c r="B34">
        <f>BDP(Universe!B34,"GICS_SECTOR_NAME")</f>
        <v/>
      </c>
      <c r="C34">
        <f>BDP(Universe!B34,"CUR_MKT_CAP")</f>
        <v/>
      </c>
    </row>
    <row r="35">
      <c r="A35" t="inlineStr">
        <is>
          <t>BUOU.SI</t>
        </is>
      </c>
      <c r="B35">
        <f>BDP(Universe!B35,"GICS_SECTOR_NAME")</f>
        <v/>
      </c>
      <c r="C35">
        <f>BDP(Universe!B35,"CUR_MKT_CAP")</f>
        <v/>
      </c>
    </row>
    <row r="36">
      <c r="A36" t="inlineStr">
        <is>
          <t>S59.SI</t>
        </is>
      </c>
      <c r="B36">
        <f>BDP(Universe!B36,"GICS_SECTOR_NAME")</f>
        <v/>
      </c>
      <c r="C36">
        <f>BDP(Universe!B36,"CUR_MKT_CAP")</f>
        <v/>
      </c>
    </row>
    <row r="37">
      <c r="A37" t="inlineStr">
        <is>
          <t>E5H.SI</t>
        </is>
      </c>
      <c r="B37">
        <f>BDP(Universe!B37,"GICS_SECTOR_NAME")</f>
        <v/>
      </c>
      <c r="C37">
        <f>BDP(Universe!B37,"CUR_MKT_CAP")</f>
        <v/>
      </c>
    </row>
    <row r="38">
      <c r="A38" t="inlineStr">
        <is>
          <t>H02.SI</t>
        </is>
      </c>
      <c r="B38">
        <f>BDP(Universe!B38,"GICS_SECTOR_NAME")</f>
        <v/>
      </c>
      <c r="C38">
        <f>BDP(Universe!B38,"CUR_MKT_CAP")</f>
        <v/>
      </c>
    </row>
    <row r="39">
      <c r="A39" t="inlineStr">
        <is>
          <t>HMN.SI</t>
        </is>
      </c>
      <c r="B39">
        <f>BDP(Universe!B39,"GICS_SECTOR_NAME")</f>
        <v/>
      </c>
      <c r="C39">
        <f>BDP(Universe!B39,"CUR_MKT_CAP")</f>
        <v/>
      </c>
    </row>
    <row r="40">
      <c r="A40" t="inlineStr">
        <is>
          <t>A7RU.SI</t>
        </is>
      </c>
      <c r="B40">
        <f>BDP(Universe!B40,"GICS_SECTOR_NAME")</f>
        <v/>
      </c>
      <c r="C40">
        <f>BDP(Universe!B40,"CUR_MKT_CAP")</f>
        <v/>
      </c>
    </row>
    <row r="41">
      <c r="A41" t="inlineStr">
        <is>
          <t>P8Z.SI</t>
        </is>
      </c>
      <c r="B41">
        <f>BDP(Universe!B41,"GICS_SECTOR_NAME")</f>
        <v/>
      </c>
      <c r="C41">
        <f>BDP(Universe!B41,"CUR_MKT_CAP")</f>
        <v/>
      </c>
    </row>
    <row r="42">
      <c r="A42" t="inlineStr">
        <is>
          <t>C52.SI</t>
        </is>
      </c>
      <c r="B42">
        <f>BDP(Universe!B42,"GICS_SECTOR_NAME")</f>
        <v/>
      </c>
      <c r="C42">
        <f>BDP(Universe!B42,"CUR_MKT_CAP")</f>
        <v/>
      </c>
    </row>
    <row r="43">
      <c r="A43" t="inlineStr">
        <is>
          <t>AWX.SI</t>
        </is>
      </c>
      <c r="B43">
        <f>BDP(Universe!B43,"GICS_SECTOR_NAME")</f>
        <v/>
      </c>
      <c r="C43">
        <f>BDP(Universe!B43,"CUR_MKT_CAP")</f>
        <v/>
      </c>
    </row>
    <row r="44">
      <c r="A44" t="inlineStr">
        <is>
          <t>AIY.SI</t>
        </is>
      </c>
      <c r="B44">
        <f>BDP(Universe!B44,"GICS_SECTOR_NAME")</f>
        <v/>
      </c>
      <c r="C44">
        <f>BDP(Universe!B44,"CUR_MKT_CAP")</f>
        <v/>
      </c>
    </row>
    <row r="45">
      <c r="A45" t="inlineStr">
        <is>
          <t>C2PU.SI</t>
        </is>
      </c>
      <c r="B45">
        <f>BDP(Universe!B45,"GICS_SECTOR_NAME")</f>
        <v/>
      </c>
      <c r="C45">
        <f>BDP(Universe!B45,"CUR_MKT_CAP")</f>
        <v/>
      </c>
    </row>
    <row r="46">
      <c r="A46" t="inlineStr">
        <is>
          <t>F17.SI</t>
        </is>
      </c>
      <c r="B46">
        <f>BDP(Universe!B46,"GICS_SECTOR_NAME")</f>
        <v/>
      </c>
      <c r="C46">
        <f>BDP(Universe!B46,"CUR_MKT_CAP")</f>
        <v/>
      </c>
    </row>
    <row r="47">
      <c r="A47" t="inlineStr">
        <is>
          <t>H15.SI</t>
        </is>
      </c>
      <c r="B47">
        <f>BDP(Universe!B47,"GICS_SECTOR_NAME")</f>
        <v/>
      </c>
      <c r="C47">
        <f>BDP(Universe!B47,"CUR_MKT_CAP")</f>
        <v/>
      </c>
    </row>
    <row r="48">
      <c r="A48" t="inlineStr">
        <is>
          <t>H22.SI</t>
        </is>
      </c>
      <c r="B48">
        <f>BDP(Universe!B48,"GICS_SECTOR_NAME")</f>
        <v/>
      </c>
      <c r="C48">
        <f>BDP(Universe!B48,"CUR_MKT_CAP")</f>
        <v/>
      </c>
    </row>
    <row r="49">
      <c r="A49" t="inlineStr">
        <is>
          <t>558.SI</t>
        </is>
      </c>
      <c r="B49">
        <f>BDP(Universe!B49,"GICS_SECTOR_NAME")</f>
        <v/>
      </c>
      <c r="C49">
        <f>BDP(Universe!B49,"CUR_MKT_CAP")</f>
        <v/>
      </c>
    </row>
    <row r="50">
      <c r="A50" t="inlineStr">
        <is>
          <t>NS8U.SI</t>
        </is>
      </c>
      <c r="B50">
        <f>BDP(Universe!B50,"GICS_SECTOR_NAME")</f>
        <v/>
      </c>
      <c r="C50">
        <f>BDP(Universe!B50,"CUR_MKT_CAP")</f>
        <v/>
      </c>
    </row>
    <row r="51">
      <c r="A51" t="inlineStr">
        <is>
          <t>8Y.SI</t>
        </is>
      </c>
      <c r="B51">
        <f>BDP(Universe!B51,"GICS_SECTOR_NAME")</f>
        <v/>
      </c>
      <c r="C51">
        <f>BDP(Universe!B51,"CUR_MKT_CAP")</f>
        <v/>
      </c>
    </row>
    <row r="52">
      <c r="A52" t="inlineStr">
        <is>
          <t>F99.SI</t>
        </is>
      </c>
      <c r="B52">
        <f>BDP(Universe!B52,"GICS_SECTOR_NAME")</f>
        <v/>
      </c>
      <c r="C52">
        <f>BDP(Universe!B52,"CUR_MKT_CAP")</f>
        <v/>
      </c>
    </row>
    <row r="53">
      <c r="A53" t="inlineStr">
        <is>
          <t>TS0U.SI</t>
        </is>
      </c>
      <c r="B53">
        <f>BDP(Universe!B53,"GICS_SECTOR_NAME")</f>
        <v/>
      </c>
      <c r="C53">
        <f>BDP(Universe!B53,"CUR_MKT_CAP")</f>
        <v/>
      </c>
    </row>
    <row r="54">
      <c r="A54" t="inlineStr">
        <is>
          <t>9A4U.SI</t>
        </is>
      </c>
      <c r="B54">
        <f>BDP(Universe!B54,"GICS_SECTOR_NAME")</f>
        <v/>
      </c>
      <c r="C54">
        <f>BDP(Universe!B54,"CUR_MKT_CAP")</f>
        <v/>
      </c>
    </row>
    <row r="55">
      <c r="A55" t="inlineStr">
        <is>
          <t>8C8U.SI</t>
        </is>
      </c>
      <c r="B55">
        <f>BDP(Universe!B55,"GICS_SECTOR_NAME")</f>
        <v/>
      </c>
      <c r="C55">
        <f>BDP(Universe!B55,"CUR_MKT_CAP")</f>
        <v/>
      </c>
    </row>
    <row r="56">
      <c r="A56" t="inlineStr">
        <is>
          <t>SEB.SI</t>
        </is>
      </c>
      <c r="B56">
        <f>BDP(Universe!B56,"GICS_SECTOR_NAME")</f>
        <v/>
      </c>
      <c r="C56">
        <f>BDP(Universe!B56,"CUR_MKT_CAP")</f>
        <v/>
      </c>
    </row>
    <row r="57">
      <c r="A57" t="inlineStr">
        <is>
          <t>Z25.SI</t>
        </is>
      </c>
      <c r="B57">
        <f>BDP(Universe!B57,"GICS_SECTOR_NAME")</f>
        <v/>
      </c>
      <c r="C57">
        <f>BDP(Universe!B57,"CUR_MKT_CAP")</f>
        <v/>
      </c>
    </row>
    <row r="58">
      <c r="A58" t="inlineStr">
        <is>
          <t>AP4.SI</t>
        </is>
      </c>
      <c r="B58">
        <f>BDP(Universe!B58,"GICS_SECTOR_NAME")</f>
        <v/>
      </c>
      <c r="C58">
        <f>BDP(Universe!B58,"CUR_MKT_CAP")</f>
        <v/>
      </c>
    </row>
    <row r="59">
      <c r="A59" t="inlineStr">
        <is>
          <t>P40U.SI</t>
        </is>
      </c>
      <c r="B59">
        <f>BDP(Universe!B59,"GICS_SECTOR_NAME")</f>
        <v/>
      </c>
      <c r="C59">
        <f>BDP(Universe!B59,"CUR_MKT_CAP")</f>
        <v/>
      </c>
    </row>
    <row r="60">
      <c r="A60" t="inlineStr">
        <is>
          <t>B61.SI</t>
        </is>
      </c>
      <c r="B60">
        <f>BDP(Universe!B60,"GICS_SECTOR_NAME")</f>
        <v/>
      </c>
      <c r="C60">
        <f>BDP(Universe!B60,"CUR_MKT_CAP")</f>
        <v/>
      </c>
    </row>
    <row r="61">
      <c r="A61" t="inlineStr">
        <is>
          <t>NTDU.SI</t>
        </is>
      </c>
      <c r="B61">
        <f>BDP(Universe!B61,"GICS_SECTOR_NAME")</f>
        <v/>
      </c>
      <c r="C61">
        <f>BDP(Universe!B61,"CUR_MKT_CAP")</f>
        <v/>
      </c>
    </row>
    <row r="62">
      <c r="A62" t="inlineStr">
        <is>
          <t>W05.SI</t>
        </is>
      </c>
      <c r="B62">
        <f>BDP(Universe!B62,"GICS_SECTOR_NAME")</f>
        <v/>
      </c>
      <c r="C62">
        <f>BDP(Universe!B62,"CUR_MKT_CAP")</f>
        <v/>
      </c>
    </row>
    <row r="63">
      <c r="A63" t="inlineStr">
        <is>
          <t>Q5T.SI</t>
        </is>
      </c>
      <c r="B63">
        <f>BDP(Universe!B63,"GICS_SECTOR_NAME")</f>
        <v/>
      </c>
      <c r="C63">
        <f>BDP(Universe!B63,"CUR_MKT_CAP")</f>
        <v/>
      </c>
    </row>
    <row r="64">
      <c r="A64" t="inlineStr">
        <is>
          <t>BEC.SI</t>
        </is>
      </c>
      <c r="B64">
        <f>BDP(Universe!B64,"GICS_SECTOR_NAME")</f>
        <v/>
      </c>
      <c r="C64">
        <f>BDP(Universe!B64,"CUR_MKT_CAP")</f>
        <v/>
      </c>
    </row>
    <row r="65">
      <c r="A65" t="inlineStr">
        <is>
          <t>E28.SI</t>
        </is>
      </c>
      <c r="B65">
        <f>BDP(Universe!B65,"GICS_SECTOR_NAME")</f>
        <v/>
      </c>
      <c r="C65">
        <f>BDP(Universe!B65,"CUR_MKT_CAP")</f>
        <v/>
      </c>
    </row>
    <row r="66">
      <c r="A66" t="inlineStr">
        <is>
          <t>UIBU.SI</t>
        </is>
      </c>
      <c r="B66">
        <f>BDP(Universe!B66,"GICS_SECTOR_NAME")</f>
        <v/>
      </c>
      <c r="C66">
        <f>BDP(Universe!B66,"CUR_MKT_CAP")</f>
        <v/>
      </c>
    </row>
    <row r="67">
      <c r="A67" t="inlineStr">
        <is>
          <t>AU8U.SI</t>
        </is>
      </c>
      <c r="B67">
        <f>BDP(Universe!B67,"GICS_SECTOR_NAME")</f>
        <v/>
      </c>
      <c r="C67">
        <f>BDP(Universe!B67,"CUR_MKT_CAP")</f>
        <v/>
      </c>
    </row>
    <row r="68">
      <c r="A68" t="inlineStr">
        <is>
          <t>P52.SI</t>
        </is>
      </c>
      <c r="B68">
        <f>BDP(Universe!B68,"GICS_SECTOR_NAME")</f>
        <v/>
      </c>
      <c r="C68">
        <f>BDP(Universe!B68,"CUR_MKT_CAP")</f>
        <v/>
      </c>
    </row>
    <row r="69">
      <c r="A69" t="inlineStr">
        <is>
          <t>S41.SI</t>
        </is>
      </c>
      <c r="B69">
        <f>BDP(Universe!B69,"GICS_SECTOR_NAME")</f>
        <v/>
      </c>
      <c r="C69">
        <f>BDP(Universe!B69,"CUR_MKT_CAP")</f>
        <v/>
      </c>
    </row>
    <row r="70">
      <c r="A70" t="inlineStr">
        <is>
          <t>S61.SI</t>
        </is>
      </c>
      <c r="B70">
        <f>BDP(Universe!B70,"GICS_SECTOR_NAME")</f>
        <v/>
      </c>
      <c r="C70">
        <f>BDP(Universe!B70,"CUR_MKT_CAP")</f>
        <v/>
      </c>
    </row>
    <row r="71">
      <c r="A71" t="inlineStr">
        <is>
          <t>PCT.SI</t>
        </is>
      </c>
      <c r="B71">
        <f>BDP(Universe!B71,"GICS_SECTOR_NAME")</f>
        <v/>
      </c>
      <c r="C71">
        <f>BDP(Universe!B71,"CUR_MKT_CAP")</f>
        <v/>
      </c>
    </row>
    <row r="72">
      <c r="A72" t="inlineStr">
        <is>
          <t>ADN.SI</t>
        </is>
      </c>
      <c r="B72">
        <f>BDP(Universe!B72,"GICS_SECTOR_NAME")</f>
        <v/>
      </c>
      <c r="C72">
        <f>BDP(Universe!B72,"CUR_MKT_CAP")</f>
        <v/>
      </c>
    </row>
    <row r="73">
      <c r="A73" t="inlineStr">
        <is>
          <t>F9D.SI</t>
        </is>
      </c>
      <c r="B73">
        <f>BDP(Universe!B73,"GICS_SECTOR_NAME")</f>
        <v/>
      </c>
      <c r="C73">
        <f>BDP(Universe!B73,"CUR_MKT_CAP")</f>
        <v/>
      </c>
    </row>
    <row r="74">
      <c r="A74" t="inlineStr">
        <is>
          <t>FHH.SI</t>
        </is>
      </c>
      <c r="B74">
        <f>BDP(Universe!B74,"GICS_SECTOR_NAME")</f>
        <v/>
      </c>
      <c r="C74">
        <f>BDP(Universe!B74,"CUR_MKT_CAP")</f>
        <v/>
      </c>
    </row>
    <row r="75">
      <c r="A75" t="inlineStr">
        <is>
          <t>J85.SI</t>
        </is>
      </c>
      <c r="B75">
        <f>BDP(Universe!B75,"GICS_SECTOR_NAME")</f>
        <v/>
      </c>
      <c r="C75">
        <f>BDP(Universe!B75,"CUR_MKT_CAP")</f>
        <v/>
      </c>
    </row>
    <row r="76">
      <c r="A76" t="inlineStr">
        <is>
          <t>T6I.SI</t>
        </is>
      </c>
      <c r="B76">
        <f>BDP(Universe!B76,"GICS_SECTOR_NAME")</f>
        <v/>
      </c>
      <c r="C76">
        <f>BDP(Universe!B76,"CUR_MKT_CAP")</f>
        <v/>
      </c>
    </row>
    <row r="77">
      <c r="A77" t="inlineStr">
        <is>
          <t>RE4.SI</t>
        </is>
      </c>
      <c r="B77">
        <f>BDP(Universe!B77,"GICS_SECTOR_NAME")</f>
        <v/>
      </c>
      <c r="C77">
        <f>BDP(Universe!B77,"CUR_MKT_CAP")</f>
        <v/>
      </c>
    </row>
    <row r="78">
      <c r="A78" t="inlineStr">
        <is>
          <t>544.SI</t>
        </is>
      </c>
      <c r="B78">
        <f>BDP(Universe!B78,"GICS_SECTOR_NAME")</f>
        <v/>
      </c>
      <c r="C78">
        <f>BDP(Universe!B78,"CUR_MKT_CAP")</f>
        <v/>
      </c>
    </row>
    <row r="79">
      <c r="A79" t="inlineStr">
        <is>
          <t>CRPU.SI</t>
        </is>
      </c>
      <c r="B79">
        <f>BDP(Universe!B79,"GICS_SECTOR_NAME")</f>
        <v/>
      </c>
      <c r="C79">
        <f>BDP(Universe!B79,"CUR_MKT_CAP")</f>
        <v/>
      </c>
    </row>
    <row r="80">
      <c r="A80" t="inlineStr">
        <is>
          <t>DCRU.SI</t>
        </is>
      </c>
      <c r="B80">
        <f>BDP(Universe!B80,"GICS_SECTOR_NAME")</f>
        <v/>
      </c>
      <c r="C80">
        <f>BDP(Universe!B80,"CUR_MKT_CAP")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Categories notes</t>
        </is>
      </c>
    </row>
    <row r="2">
      <c r="A2" t="inlineStr">
        <is>
          <t>Export this sheet as categorizations_data.csv (headers: Ticker,sector,market_cap).</t>
        </is>
      </c>
    </row>
    <row r="3">
      <c r="A3" t="inlineStr">
        <is>
          <t>If GICS_SECTOR_NAME is empty, switch formula to INDUSTRY_SECTOR or CLASSIFICATION_LEVEL_1_NAME.</t>
        </is>
      </c>
    </row>
    <row r="4">
      <c r="A4" t="inlineStr">
        <is>
          <t>market_cap should be absolute CUR_MKT_CAP (same units across names).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A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DVD_HIST_ALL (BDS) — one block per ticker. Row3=Yahoo ticker, Row4=BDS formula. Refresh Bloomberg, then run bbg_to_csv.py</t>
        </is>
      </c>
    </row>
    <row r="3">
      <c r="A3" s="9" t="inlineStr">
        <is>
          <t>D05.SI</t>
        </is>
      </c>
      <c r="I3" s="9" t="inlineStr">
        <is>
          <t>O39.SI</t>
        </is>
      </c>
      <c r="Q3" s="9" t="inlineStr">
        <is>
          <t>Z74.SI</t>
        </is>
      </c>
      <c r="Y3" s="9" t="inlineStr">
        <is>
          <t>U11.SI</t>
        </is>
      </c>
      <c r="AG3" s="9" t="inlineStr">
        <is>
          <t>S63.SI</t>
        </is>
      </c>
      <c r="AO3" s="9" t="inlineStr">
        <is>
          <t>S68.SI</t>
        </is>
      </c>
      <c r="AW3" s="9" t="inlineStr">
        <is>
          <t>J36.SI</t>
        </is>
      </c>
      <c r="BE3" s="9" t="inlineStr">
        <is>
          <t>C6L.SI</t>
        </is>
      </c>
      <c r="BM3" s="9" t="inlineStr">
        <is>
          <t>F34.SI</t>
        </is>
      </c>
      <c r="BU3" s="9" t="inlineStr">
        <is>
          <t>H78.SI</t>
        </is>
      </c>
      <c r="CC3" s="9" t="inlineStr">
        <is>
          <t>BN4.SI</t>
        </is>
      </c>
      <c r="CK3" s="9" t="inlineStr">
        <is>
          <t>C38U.SI</t>
        </is>
      </c>
      <c r="CS3" s="9" t="inlineStr">
        <is>
          <t>U14.SI</t>
        </is>
      </c>
      <c r="DA3" s="9" t="inlineStr">
        <is>
          <t>5E2.SI</t>
        </is>
      </c>
      <c r="DI3" s="9" t="inlineStr">
        <is>
          <t>G13.SI</t>
        </is>
      </c>
      <c r="DQ3" s="9" t="inlineStr">
        <is>
          <t>S58.SI</t>
        </is>
      </c>
      <c r="DY3" s="9" t="inlineStr">
        <is>
          <t>N2IU.SI</t>
        </is>
      </c>
      <c r="EG3" s="9" t="inlineStr">
        <is>
          <t>C09.SI</t>
        </is>
      </c>
      <c r="EO3" s="9" t="inlineStr">
        <is>
          <t>D01.SI</t>
        </is>
      </c>
      <c r="EW3" s="9" t="inlineStr">
        <is>
          <t>M44U.SI</t>
        </is>
      </c>
      <c r="FE3" s="9" t="inlineStr">
        <is>
          <t>EB5.SI</t>
        </is>
      </c>
      <c r="FM3" s="9" t="inlineStr">
        <is>
          <t>ME8U.SI</t>
        </is>
      </c>
      <c r="FU3" s="9" t="inlineStr">
        <is>
          <t>AJBU.SI</t>
        </is>
      </c>
      <c r="GC3" s="9" t="inlineStr">
        <is>
          <t>VC2.SI</t>
        </is>
      </c>
      <c r="GK3" s="9" t="inlineStr">
        <is>
          <t>U06.SI</t>
        </is>
      </c>
      <c r="GS3" s="9" t="inlineStr">
        <is>
          <t>OV8.SI</t>
        </is>
      </c>
      <c r="HA3" s="9" t="inlineStr">
        <is>
          <t>V03.SI</t>
        </is>
      </c>
      <c r="HI3" s="9" t="inlineStr">
        <is>
          <t>J69U.SI</t>
        </is>
      </c>
      <c r="HQ3" s="9" t="inlineStr">
        <is>
          <t>T82U.SI</t>
        </is>
      </c>
      <c r="HY3" s="9" t="inlineStr">
        <is>
          <t>K71U.SI</t>
        </is>
      </c>
      <c r="IG3" s="9" t="inlineStr">
        <is>
          <t>U10.SI</t>
        </is>
      </c>
      <c r="IO3" s="9" t="inlineStr">
        <is>
          <t>TQ5.SI</t>
        </is>
      </c>
      <c r="IW3" s="9" t="inlineStr">
        <is>
          <t>CJL.SI</t>
        </is>
      </c>
      <c r="JE3" s="9" t="inlineStr">
        <is>
          <t>BUOU.SI</t>
        </is>
      </c>
      <c r="JM3" s="9" t="inlineStr">
        <is>
          <t>S59.SI</t>
        </is>
      </c>
      <c r="JU3" s="9" t="inlineStr">
        <is>
          <t>E5H.SI</t>
        </is>
      </c>
      <c r="KC3" s="9" t="inlineStr">
        <is>
          <t>H02.SI</t>
        </is>
      </c>
      <c r="KK3" s="9" t="inlineStr">
        <is>
          <t>HMN.SI</t>
        </is>
      </c>
      <c r="KS3" s="9" t="inlineStr">
        <is>
          <t>A7RU.SI</t>
        </is>
      </c>
      <c r="LA3" s="9" t="inlineStr">
        <is>
          <t>P8Z.SI</t>
        </is>
      </c>
      <c r="LI3" s="9" t="inlineStr">
        <is>
          <t>C52.SI</t>
        </is>
      </c>
      <c r="LQ3" s="9" t="inlineStr">
        <is>
          <t>AWX.SI</t>
        </is>
      </c>
      <c r="LY3" s="9" t="inlineStr">
        <is>
          <t>AIY.SI</t>
        </is>
      </c>
      <c r="MG3" s="9" t="inlineStr">
        <is>
          <t>C2PU.SI</t>
        </is>
      </c>
      <c r="MO3" s="9" t="inlineStr">
        <is>
          <t>F17.SI</t>
        </is>
      </c>
      <c r="MW3" s="9" t="inlineStr">
        <is>
          <t>H15.SI</t>
        </is>
      </c>
      <c r="NE3" s="9" t="inlineStr">
        <is>
          <t>H22.SI</t>
        </is>
      </c>
      <c r="NM3" s="9" t="inlineStr">
        <is>
          <t>558.SI</t>
        </is>
      </c>
      <c r="NU3" s="9" t="inlineStr">
        <is>
          <t>NS8U.SI</t>
        </is>
      </c>
      <c r="OC3" s="9" t="inlineStr">
        <is>
          <t>8Y.SI</t>
        </is>
      </c>
      <c r="OK3" s="9" t="inlineStr">
        <is>
          <t>F99.SI</t>
        </is>
      </c>
      <c r="OS3" s="9" t="inlineStr">
        <is>
          <t>TS0U.SI</t>
        </is>
      </c>
      <c r="PA3" s="9" t="inlineStr">
        <is>
          <t>9A4U.SI</t>
        </is>
      </c>
      <c r="PI3" s="9" t="inlineStr">
        <is>
          <t>8C8U.SI</t>
        </is>
      </c>
      <c r="PQ3" s="9" t="inlineStr">
        <is>
          <t>SEB.SI</t>
        </is>
      </c>
      <c r="PY3" s="9" t="inlineStr">
        <is>
          <t>Z25.SI</t>
        </is>
      </c>
      <c r="QG3" s="9" t="inlineStr">
        <is>
          <t>AP4.SI</t>
        </is>
      </c>
      <c r="QO3" s="9" t="inlineStr">
        <is>
          <t>P40U.SI</t>
        </is>
      </c>
      <c r="QW3" s="9" t="inlineStr">
        <is>
          <t>B61.SI</t>
        </is>
      </c>
      <c r="RE3" s="9" t="inlineStr">
        <is>
          <t>NTDU.SI</t>
        </is>
      </c>
      <c r="RM3" s="9" t="inlineStr">
        <is>
          <t>W05.SI</t>
        </is>
      </c>
      <c r="RU3" s="9" t="inlineStr">
        <is>
          <t>Q5T.SI</t>
        </is>
      </c>
      <c r="SC3" s="9" t="inlineStr">
        <is>
          <t>BEC.SI</t>
        </is>
      </c>
      <c r="SK3" s="9" t="inlineStr">
        <is>
          <t>E28.SI</t>
        </is>
      </c>
      <c r="SS3" s="9" t="inlineStr">
        <is>
          <t>UIBU.SI</t>
        </is>
      </c>
      <c r="TA3" s="9" t="inlineStr">
        <is>
          <t>AU8U.SI</t>
        </is>
      </c>
      <c r="TI3" s="9" t="inlineStr">
        <is>
          <t>P52.SI</t>
        </is>
      </c>
      <c r="TQ3" s="9" t="inlineStr">
        <is>
          <t>S41.SI</t>
        </is>
      </c>
      <c r="TY3" s="9" t="inlineStr">
        <is>
          <t>S61.SI</t>
        </is>
      </c>
      <c r="UG3" s="9" t="inlineStr">
        <is>
          <t>PCT.SI</t>
        </is>
      </c>
      <c r="UO3" s="9" t="inlineStr">
        <is>
          <t>ADN.SI</t>
        </is>
      </c>
      <c r="UW3" s="9" t="inlineStr">
        <is>
          <t>F9D.SI</t>
        </is>
      </c>
      <c r="VE3" s="9" t="inlineStr">
        <is>
          <t>FHH.SI</t>
        </is>
      </c>
      <c r="VM3" s="9" t="inlineStr">
        <is>
          <t>J85.SI</t>
        </is>
      </c>
      <c r="VU3" s="9" t="inlineStr">
        <is>
          <t>T6I.SI</t>
        </is>
      </c>
      <c r="WC3" s="9" t="inlineStr">
        <is>
          <t>RE4.SI</t>
        </is>
      </c>
      <c r="WK3" s="9" t="inlineStr">
        <is>
          <t>544.SI</t>
        </is>
      </c>
      <c r="WS3" s="9" t="inlineStr">
        <is>
          <t>CRPU.SI</t>
        </is>
      </c>
      <c r="XA3" s="9" t="inlineStr">
        <is>
          <t>DCRU.SI</t>
        </is>
      </c>
    </row>
    <row r="4">
      <c r="A4">
        <f>BDS(Universe!B2,Control!$B$8,"Headers=Y","DVD_START_DT="&amp;TEXT(Control!$B$2,"yyyymmdd"),"DVD_END_DT="&amp;TEXT(Control!$B$3,"yyyymmdd"))</f>
        <v/>
      </c>
      <c r="I4">
        <f>BDS(Universe!B3,Control!$B$8,"Headers=Y","DVD_START_DT="&amp;TEXT(Control!$B$2,"yyyymmdd"),"DVD_END_DT="&amp;TEXT(Control!$B$3,"yyyymmdd"))</f>
        <v/>
      </c>
      <c r="Q4">
        <f>BDS(Universe!B4,Control!$B$8,"Headers=Y","DVD_START_DT="&amp;TEXT(Control!$B$2,"yyyymmdd"),"DVD_END_DT="&amp;TEXT(Control!$B$3,"yyyymmdd"))</f>
        <v/>
      </c>
      <c r="Y4">
        <f>BDS(Universe!B5,Control!$B$8,"Headers=Y","DVD_START_DT="&amp;TEXT(Control!$B$2,"yyyymmdd"),"DVD_END_DT="&amp;TEXT(Control!$B$3,"yyyymmdd"))</f>
        <v/>
      </c>
      <c r="AG4">
        <f>BDS(Universe!B6,Control!$B$8,"Headers=Y","DVD_START_DT="&amp;TEXT(Control!$B$2,"yyyymmdd"),"DVD_END_DT="&amp;TEXT(Control!$B$3,"yyyymmdd"))</f>
        <v/>
      </c>
      <c r="AO4">
        <f>BDS(Universe!B7,Control!$B$8,"Headers=Y","DVD_START_DT="&amp;TEXT(Control!$B$2,"yyyymmdd"),"DVD_END_DT="&amp;TEXT(Control!$B$3,"yyyymmdd"))</f>
        <v/>
      </c>
      <c r="AW4">
        <f>BDS(Universe!B8,Control!$B$8,"Headers=Y","DVD_START_DT="&amp;TEXT(Control!$B$2,"yyyymmdd"),"DVD_END_DT="&amp;TEXT(Control!$B$3,"yyyymmdd"))</f>
        <v/>
      </c>
      <c r="BE4">
        <f>BDS(Universe!B9,Control!$B$8,"Headers=Y","DVD_START_DT="&amp;TEXT(Control!$B$2,"yyyymmdd"),"DVD_END_DT="&amp;TEXT(Control!$B$3,"yyyymmdd"))</f>
        <v/>
      </c>
      <c r="BM4">
        <f>BDS(Universe!B10,Control!$B$8,"Headers=Y","DVD_START_DT="&amp;TEXT(Control!$B$2,"yyyymmdd"),"DVD_END_DT="&amp;TEXT(Control!$B$3,"yyyymmdd"))</f>
        <v/>
      </c>
      <c r="BU4">
        <f>BDS(Universe!B11,Control!$B$8,"Headers=Y","DVD_START_DT="&amp;TEXT(Control!$B$2,"yyyymmdd"),"DVD_END_DT="&amp;TEXT(Control!$B$3,"yyyymmdd"))</f>
        <v/>
      </c>
      <c r="CC4">
        <f>BDS(Universe!B12,Control!$B$8,"Headers=Y","DVD_START_DT="&amp;TEXT(Control!$B$2,"yyyymmdd"),"DVD_END_DT="&amp;TEXT(Control!$B$3,"yyyymmdd"))</f>
        <v/>
      </c>
      <c r="CK4">
        <f>BDS(Universe!B13,Control!$B$8,"Headers=Y","DVD_START_DT="&amp;TEXT(Control!$B$2,"yyyymmdd"),"DVD_END_DT="&amp;TEXT(Control!$B$3,"yyyymmdd"))</f>
        <v/>
      </c>
      <c r="CS4">
        <f>BDS(Universe!B14,Control!$B$8,"Headers=Y","DVD_START_DT="&amp;TEXT(Control!$B$2,"yyyymmdd"),"DVD_END_DT="&amp;TEXT(Control!$B$3,"yyyymmdd"))</f>
        <v/>
      </c>
      <c r="DA4">
        <f>BDS(Universe!B15,Control!$B$8,"Headers=Y","DVD_START_DT="&amp;TEXT(Control!$B$2,"yyyymmdd"),"DVD_END_DT="&amp;TEXT(Control!$B$3,"yyyymmdd"))</f>
        <v/>
      </c>
      <c r="DI4">
        <f>BDS(Universe!B16,Control!$B$8,"Headers=Y","DVD_START_DT="&amp;TEXT(Control!$B$2,"yyyymmdd"),"DVD_END_DT="&amp;TEXT(Control!$B$3,"yyyymmdd"))</f>
        <v/>
      </c>
      <c r="DQ4">
        <f>BDS(Universe!B17,Control!$B$8,"Headers=Y","DVD_START_DT="&amp;TEXT(Control!$B$2,"yyyymmdd"),"DVD_END_DT="&amp;TEXT(Control!$B$3,"yyyymmdd"))</f>
        <v/>
      </c>
      <c r="DY4">
        <f>BDS(Universe!B18,Control!$B$8,"Headers=Y","DVD_START_DT="&amp;TEXT(Control!$B$2,"yyyymmdd"),"DVD_END_DT="&amp;TEXT(Control!$B$3,"yyyymmdd"))</f>
        <v/>
      </c>
      <c r="EG4">
        <f>BDS(Universe!B19,Control!$B$8,"Headers=Y","DVD_START_DT="&amp;TEXT(Control!$B$2,"yyyymmdd"),"DVD_END_DT="&amp;TEXT(Control!$B$3,"yyyymmdd"))</f>
        <v/>
      </c>
      <c r="EO4">
        <f>BDS(Universe!B20,Control!$B$8,"Headers=Y","DVD_START_DT="&amp;TEXT(Control!$B$2,"yyyymmdd"),"DVD_END_DT="&amp;TEXT(Control!$B$3,"yyyymmdd"))</f>
        <v/>
      </c>
      <c r="EW4">
        <f>BDS(Universe!B21,Control!$B$8,"Headers=Y","DVD_START_DT="&amp;TEXT(Control!$B$2,"yyyymmdd"),"DVD_END_DT="&amp;TEXT(Control!$B$3,"yyyymmdd"))</f>
        <v/>
      </c>
      <c r="FE4">
        <f>BDS(Universe!B22,Control!$B$8,"Headers=Y","DVD_START_DT="&amp;TEXT(Control!$B$2,"yyyymmdd"),"DVD_END_DT="&amp;TEXT(Control!$B$3,"yyyymmdd"))</f>
        <v/>
      </c>
      <c r="FM4">
        <f>BDS(Universe!B23,Control!$B$8,"Headers=Y","DVD_START_DT="&amp;TEXT(Control!$B$2,"yyyymmdd"),"DVD_END_DT="&amp;TEXT(Control!$B$3,"yyyymmdd"))</f>
        <v/>
      </c>
      <c r="FU4">
        <f>BDS(Universe!B24,Control!$B$8,"Headers=Y","DVD_START_DT="&amp;TEXT(Control!$B$2,"yyyymmdd"),"DVD_END_DT="&amp;TEXT(Control!$B$3,"yyyymmdd"))</f>
        <v/>
      </c>
      <c r="GC4">
        <f>BDS(Universe!B25,Control!$B$8,"Headers=Y","DVD_START_DT="&amp;TEXT(Control!$B$2,"yyyymmdd"),"DVD_END_DT="&amp;TEXT(Control!$B$3,"yyyymmdd"))</f>
        <v/>
      </c>
      <c r="GK4">
        <f>BDS(Universe!B26,Control!$B$8,"Headers=Y","DVD_START_DT="&amp;TEXT(Control!$B$2,"yyyymmdd"),"DVD_END_DT="&amp;TEXT(Control!$B$3,"yyyymmdd"))</f>
        <v/>
      </c>
      <c r="GS4">
        <f>BDS(Universe!B27,Control!$B$8,"Headers=Y","DVD_START_DT="&amp;TEXT(Control!$B$2,"yyyymmdd"),"DVD_END_DT="&amp;TEXT(Control!$B$3,"yyyymmdd"))</f>
        <v/>
      </c>
      <c r="HA4">
        <f>BDS(Universe!B28,Control!$B$8,"Headers=Y","DVD_START_DT="&amp;TEXT(Control!$B$2,"yyyymmdd"),"DVD_END_DT="&amp;TEXT(Control!$B$3,"yyyymmdd"))</f>
        <v/>
      </c>
      <c r="HI4">
        <f>BDS(Universe!B29,Control!$B$8,"Headers=Y","DVD_START_DT="&amp;TEXT(Control!$B$2,"yyyymmdd"),"DVD_END_DT="&amp;TEXT(Control!$B$3,"yyyymmdd"))</f>
        <v/>
      </c>
      <c r="HQ4">
        <f>BDS(Universe!B30,Control!$B$8,"Headers=Y","DVD_START_DT="&amp;TEXT(Control!$B$2,"yyyymmdd"),"DVD_END_DT="&amp;TEXT(Control!$B$3,"yyyymmdd"))</f>
        <v/>
      </c>
      <c r="HY4">
        <f>BDS(Universe!B31,Control!$B$8,"Headers=Y","DVD_START_DT="&amp;TEXT(Control!$B$2,"yyyymmdd"),"DVD_END_DT="&amp;TEXT(Control!$B$3,"yyyymmdd"))</f>
        <v/>
      </c>
      <c r="IG4">
        <f>BDS(Universe!B32,Control!$B$8,"Headers=Y","DVD_START_DT="&amp;TEXT(Control!$B$2,"yyyymmdd"),"DVD_END_DT="&amp;TEXT(Control!$B$3,"yyyymmdd"))</f>
        <v/>
      </c>
      <c r="IO4">
        <f>BDS(Universe!B33,Control!$B$8,"Headers=Y","DVD_START_DT="&amp;TEXT(Control!$B$2,"yyyymmdd"),"DVD_END_DT="&amp;TEXT(Control!$B$3,"yyyymmdd"))</f>
        <v/>
      </c>
      <c r="IW4">
        <f>BDS(Universe!B34,Control!$B$8,"Headers=Y","DVD_START_DT="&amp;TEXT(Control!$B$2,"yyyymmdd"),"DVD_END_DT="&amp;TEXT(Control!$B$3,"yyyymmdd"))</f>
        <v/>
      </c>
      <c r="JE4">
        <f>BDS(Universe!B35,Control!$B$8,"Headers=Y","DVD_START_DT="&amp;TEXT(Control!$B$2,"yyyymmdd"),"DVD_END_DT="&amp;TEXT(Control!$B$3,"yyyymmdd"))</f>
        <v/>
      </c>
      <c r="JM4">
        <f>BDS(Universe!B36,Control!$B$8,"Headers=Y","DVD_START_DT="&amp;TEXT(Control!$B$2,"yyyymmdd"),"DVD_END_DT="&amp;TEXT(Control!$B$3,"yyyymmdd"))</f>
        <v/>
      </c>
      <c r="JU4">
        <f>BDS(Universe!B37,Control!$B$8,"Headers=Y","DVD_START_DT="&amp;TEXT(Control!$B$2,"yyyymmdd"),"DVD_END_DT="&amp;TEXT(Control!$B$3,"yyyymmdd"))</f>
        <v/>
      </c>
      <c r="KC4">
        <f>BDS(Universe!B38,Control!$B$8,"Headers=Y","DVD_START_DT="&amp;TEXT(Control!$B$2,"yyyymmdd"),"DVD_END_DT="&amp;TEXT(Control!$B$3,"yyyymmdd"))</f>
        <v/>
      </c>
      <c r="KK4">
        <f>BDS(Universe!B39,Control!$B$8,"Headers=Y","DVD_START_DT="&amp;TEXT(Control!$B$2,"yyyymmdd"),"DVD_END_DT="&amp;TEXT(Control!$B$3,"yyyymmdd"))</f>
        <v/>
      </c>
      <c r="KS4">
        <f>BDS(Universe!B40,Control!$B$8,"Headers=Y","DVD_START_DT="&amp;TEXT(Control!$B$2,"yyyymmdd"),"DVD_END_DT="&amp;TEXT(Control!$B$3,"yyyymmdd"))</f>
        <v/>
      </c>
      <c r="LA4">
        <f>BDS(Universe!B41,Control!$B$8,"Headers=Y","DVD_START_DT="&amp;TEXT(Control!$B$2,"yyyymmdd"),"DVD_END_DT="&amp;TEXT(Control!$B$3,"yyyymmdd"))</f>
        <v/>
      </c>
      <c r="LI4">
        <f>BDS(Universe!B42,Control!$B$8,"Headers=Y","DVD_START_DT="&amp;TEXT(Control!$B$2,"yyyymmdd"),"DVD_END_DT="&amp;TEXT(Control!$B$3,"yyyymmdd"))</f>
        <v/>
      </c>
      <c r="LQ4">
        <f>BDS(Universe!B43,Control!$B$8,"Headers=Y","DVD_START_DT="&amp;TEXT(Control!$B$2,"yyyymmdd"),"DVD_END_DT="&amp;TEXT(Control!$B$3,"yyyymmdd"))</f>
        <v/>
      </c>
      <c r="LY4">
        <f>BDS(Universe!B44,Control!$B$8,"Headers=Y","DVD_START_DT="&amp;TEXT(Control!$B$2,"yyyymmdd"),"DVD_END_DT="&amp;TEXT(Control!$B$3,"yyyymmdd"))</f>
        <v/>
      </c>
      <c r="MG4">
        <f>BDS(Universe!B45,Control!$B$8,"Headers=Y","DVD_START_DT="&amp;TEXT(Control!$B$2,"yyyymmdd"),"DVD_END_DT="&amp;TEXT(Control!$B$3,"yyyymmdd"))</f>
        <v/>
      </c>
      <c r="MO4">
        <f>BDS(Universe!B46,Control!$B$8,"Headers=Y","DVD_START_DT="&amp;TEXT(Control!$B$2,"yyyymmdd"),"DVD_END_DT="&amp;TEXT(Control!$B$3,"yyyymmdd"))</f>
        <v/>
      </c>
      <c r="MW4">
        <f>BDS(Universe!B47,Control!$B$8,"Headers=Y","DVD_START_DT="&amp;TEXT(Control!$B$2,"yyyymmdd"),"DVD_END_DT="&amp;TEXT(Control!$B$3,"yyyymmdd"))</f>
        <v/>
      </c>
      <c r="NE4">
        <f>BDS(Universe!B48,Control!$B$8,"Headers=Y","DVD_START_DT="&amp;TEXT(Control!$B$2,"yyyymmdd"),"DVD_END_DT="&amp;TEXT(Control!$B$3,"yyyymmdd"))</f>
        <v/>
      </c>
      <c r="NM4">
        <f>BDS(Universe!B49,Control!$B$8,"Headers=Y","DVD_START_DT="&amp;TEXT(Control!$B$2,"yyyymmdd"),"DVD_END_DT="&amp;TEXT(Control!$B$3,"yyyymmdd"))</f>
        <v/>
      </c>
      <c r="NU4">
        <f>BDS(Universe!B50,Control!$B$8,"Headers=Y","DVD_START_DT="&amp;TEXT(Control!$B$2,"yyyymmdd"),"DVD_END_DT="&amp;TEXT(Control!$B$3,"yyyymmdd"))</f>
        <v/>
      </c>
      <c r="OC4">
        <f>BDS(Universe!B51,Control!$B$8,"Headers=Y","DVD_START_DT="&amp;TEXT(Control!$B$2,"yyyymmdd"),"DVD_END_DT="&amp;TEXT(Control!$B$3,"yyyymmdd"))</f>
        <v/>
      </c>
      <c r="OK4">
        <f>BDS(Universe!B52,Control!$B$8,"Headers=Y","DVD_START_DT="&amp;TEXT(Control!$B$2,"yyyymmdd"),"DVD_END_DT="&amp;TEXT(Control!$B$3,"yyyymmdd"))</f>
        <v/>
      </c>
      <c r="OS4">
        <f>BDS(Universe!B53,Control!$B$8,"Headers=Y","DVD_START_DT="&amp;TEXT(Control!$B$2,"yyyymmdd"),"DVD_END_DT="&amp;TEXT(Control!$B$3,"yyyymmdd"))</f>
        <v/>
      </c>
      <c r="PA4">
        <f>BDS(Universe!B54,Control!$B$8,"Headers=Y","DVD_START_DT="&amp;TEXT(Control!$B$2,"yyyymmdd"),"DVD_END_DT="&amp;TEXT(Control!$B$3,"yyyymmdd"))</f>
        <v/>
      </c>
      <c r="PI4">
        <f>BDS(Universe!B55,Control!$B$8,"Headers=Y","DVD_START_DT="&amp;TEXT(Control!$B$2,"yyyymmdd"),"DVD_END_DT="&amp;TEXT(Control!$B$3,"yyyymmdd"))</f>
        <v/>
      </c>
      <c r="PQ4">
        <f>BDS(Universe!B56,Control!$B$8,"Headers=Y","DVD_START_DT="&amp;TEXT(Control!$B$2,"yyyymmdd"),"DVD_END_DT="&amp;TEXT(Control!$B$3,"yyyymmdd"))</f>
        <v/>
      </c>
      <c r="PY4">
        <f>BDS(Universe!B57,Control!$B$8,"Headers=Y","DVD_START_DT="&amp;TEXT(Control!$B$2,"yyyymmdd"),"DVD_END_DT="&amp;TEXT(Control!$B$3,"yyyymmdd"))</f>
        <v/>
      </c>
      <c r="QG4">
        <f>BDS(Universe!B58,Control!$B$8,"Headers=Y","DVD_START_DT="&amp;TEXT(Control!$B$2,"yyyymmdd"),"DVD_END_DT="&amp;TEXT(Control!$B$3,"yyyymmdd"))</f>
        <v/>
      </c>
      <c r="QO4">
        <f>BDS(Universe!B59,Control!$B$8,"Headers=Y","DVD_START_DT="&amp;TEXT(Control!$B$2,"yyyymmdd"),"DVD_END_DT="&amp;TEXT(Control!$B$3,"yyyymmdd"))</f>
        <v/>
      </c>
      <c r="QW4">
        <f>BDS(Universe!B60,Control!$B$8,"Headers=Y","DVD_START_DT="&amp;TEXT(Control!$B$2,"yyyymmdd"),"DVD_END_DT="&amp;TEXT(Control!$B$3,"yyyymmdd"))</f>
        <v/>
      </c>
      <c r="RE4">
        <f>BDS(Universe!B61,Control!$B$8,"Headers=Y","DVD_START_DT="&amp;TEXT(Control!$B$2,"yyyymmdd"),"DVD_END_DT="&amp;TEXT(Control!$B$3,"yyyymmdd"))</f>
        <v/>
      </c>
      <c r="RM4">
        <f>BDS(Universe!B62,Control!$B$8,"Headers=Y","DVD_START_DT="&amp;TEXT(Control!$B$2,"yyyymmdd"),"DVD_END_DT="&amp;TEXT(Control!$B$3,"yyyymmdd"))</f>
        <v/>
      </c>
      <c r="RU4">
        <f>BDS(Universe!B63,Control!$B$8,"Headers=Y","DVD_START_DT="&amp;TEXT(Control!$B$2,"yyyymmdd"),"DVD_END_DT="&amp;TEXT(Control!$B$3,"yyyymmdd"))</f>
        <v/>
      </c>
      <c r="SC4">
        <f>BDS(Universe!B64,Control!$B$8,"Headers=Y","DVD_START_DT="&amp;TEXT(Control!$B$2,"yyyymmdd"),"DVD_END_DT="&amp;TEXT(Control!$B$3,"yyyymmdd"))</f>
        <v/>
      </c>
      <c r="SK4">
        <f>BDS(Universe!B65,Control!$B$8,"Headers=Y","DVD_START_DT="&amp;TEXT(Control!$B$2,"yyyymmdd"),"DVD_END_DT="&amp;TEXT(Control!$B$3,"yyyymmdd"))</f>
        <v/>
      </c>
      <c r="SS4">
        <f>BDS(Universe!B66,Control!$B$8,"Headers=Y","DVD_START_DT="&amp;TEXT(Control!$B$2,"yyyymmdd"),"DVD_END_DT="&amp;TEXT(Control!$B$3,"yyyymmdd"))</f>
        <v/>
      </c>
      <c r="TA4">
        <f>BDS(Universe!B67,Control!$B$8,"Headers=Y","DVD_START_DT="&amp;TEXT(Control!$B$2,"yyyymmdd"),"DVD_END_DT="&amp;TEXT(Control!$B$3,"yyyymmdd"))</f>
        <v/>
      </c>
      <c r="TI4">
        <f>BDS(Universe!B68,Control!$B$8,"Headers=Y","DVD_START_DT="&amp;TEXT(Control!$B$2,"yyyymmdd"),"DVD_END_DT="&amp;TEXT(Control!$B$3,"yyyymmdd"))</f>
        <v/>
      </c>
      <c r="TQ4">
        <f>BDS(Universe!B69,Control!$B$8,"Headers=Y","DVD_START_DT="&amp;TEXT(Control!$B$2,"yyyymmdd"),"DVD_END_DT="&amp;TEXT(Control!$B$3,"yyyymmdd"))</f>
        <v/>
      </c>
      <c r="TY4">
        <f>BDS(Universe!B70,Control!$B$8,"Headers=Y","DVD_START_DT="&amp;TEXT(Control!$B$2,"yyyymmdd"),"DVD_END_DT="&amp;TEXT(Control!$B$3,"yyyymmdd"))</f>
        <v/>
      </c>
      <c r="UG4">
        <f>BDS(Universe!B71,Control!$B$8,"Headers=Y","DVD_START_DT="&amp;TEXT(Control!$B$2,"yyyymmdd"),"DVD_END_DT="&amp;TEXT(Control!$B$3,"yyyymmdd"))</f>
        <v/>
      </c>
      <c r="UO4">
        <f>BDS(Universe!B72,Control!$B$8,"Headers=Y","DVD_START_DT="&amp;TEXT(Control!$B$2,"yyyymmdd"),"DVD_END_DT="&amp;TEXT(Control!$B$3,"yyyymmdd"))</f>
        <v/>
      </c>
      <c r="UW4">
        <f>BDS(Universe!B73,Control!$B$8,"Headers=Y","DVD_START_DT="&amp;TEXT(Control!$B$2,"yyyymmdd"),"DVD_END_DT="&amp;TEXT(Control!$B$3,"yyyymmdd"))</f>
        <v/>
      </c>
      <c r="VE4">
        <f>BDS(Universe!B74,Control!$B$8,"Headers=Y","DVD_START_DT="&amp;TEXT(Control!$B$2,"yyyymmdd"),"DVD_END_DT="&amp;TEXT(Control!$B$3,"yyyymmdd"))</f>
        <v/>
      </c>
      <c r="VM4">
        <f>BDS(Universe!B75,Control!$B$8,"Headers=Y","DVD_START_DT="&amp;TEXT(Control!$B$2,"yyyymmdd"),"DVD_END_DT="&amp;TEXT(Control!$B$3,"yyyymmdd"))</f>
        <v/>
      </c>
      <c r="VU4">
        <f>BDS(Universe!B76,Control!$B$8,"Headers=Y","DVD_START_DT="&amp;TEXT(Control!$B$2,"yyyymmdd"),"DVD_END_DT="&amp;TEXT(Control!$B$3,"yyyymmdd"))</f>
        <v/>
      </c>
      <c r="WC4">
        <f>BDS(Universe!B77,Control!$B$8,"Headers=Y","DVD_START_DT="&amp;TEXT(Control!$B$2,"yyyymmdd"),"DVD_END_DT="&amp;TEXT(Control!$B$3,"yyyymmdd"))</f>
        <v/>
      </c>
      <c r="WK4">
        <f>BDS(Universe!B78,Control!$B$8,"Headers=Y","DVD_START_DT="&amp;TEXT(Control!$B$2,"yyyymmdd"),"DVD_END_DT="&amp;TEXT(Control!$B$3,"yyyymmdd"))</f>
        <v/>
      </c>
      <c r="WS4">
        <f>BDS(Universe!B79,Control!$B$8,"Headers=Y","DVD_START_DT="&amp;TEXT(Control!$B$2,"yyyymmdd"),"DVD_END_DT="&amp;TEXT(Control!$B$3,"yyyymmdd"))</f>
        <v/>
      </c>
      <c r="XA4">
        <f>BDS(Universe!B80,Control!$B$8,"Headers=Y","DVD_START_DT="&amp;TEXT(Control!$B$2,"yyyymmdd"),"DVD_END_DT="&amp;TEXT(Control!$B$3,"yyyymmdd"))</f>
        <v/>
      </c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12" customWidth="1" min="5" max="5"/>
  </cols>
  <sheetData>
    <row r="1">
      <c r="A1" s="9" t="inlineStr">
        <is>
          <t>YahooTicker</t>
        </is>
      </c>
      <c r="B1" s="9" t="inlineStr">
        <is>
          <t>BloombergTicker</t>
        </is>
      </c>
      <c r="C1" s="9" t="inlineStr">
        <is>
          <t>StartCol</t>
        </is>
      </c>
      <c r="D1" s="9" t="inlineStr">
        <is>
          <t>ExcelCol</t>
        </is>
      </c>
      <c r="E1" s="9" t="inlineStr">
        <is>
          <t>BDS_Cell</t>
        </is>
      </c>
    </row>
    <row r="2">
      <c r="A2" t="inlineStr">
        <is>
          <t>D05.SI</t>
        </is>
      </c>
      <c r="B2" t="inlineStr">
        <is>
          <t>D05 SP Equity</t>
        </is>
      </c>
      <c r="C2" t="n">
        <v>1</v>
      </c>
      <c r="D2" t="inlineStr">
        <is>
          <t>A</t>
        </is>
      </c>
      <c r="E2" t="inlineStr">
        <is>
          <t>A4</t>
        </is>
      </c>
    </row>
    <row r="3">
      <c r="A3" t="inlineStr">
        <is>
          <t>O39.SI</t>
        </is>
      </c>
      <c r="B3" t="inlineStr">
        <is>
          <t>O39 SP Equity</t>
        </is>
      </c>
      <c r="C3" t="n">
        <v>9</v>
      </c>
      <c r="D3" t="inlineStr">
        <is>
          <t>I</t>
        </is>
      </c>
      <c r="E3" t="inlineStr">
        <is>
          <t>I4</t>
        </is>
      </c>
    </row>
    <row r="4">
      <c r="A4" t="inlineStr">
        <is>
          <t>Z74.SI</t>
        </is>
      </c>
      <c r="B4" t="inlineStr">
        <is>
          <t>Z74 SP Equity</t>
        </is>
      </c>
      <c r="C4" t="n">
        <v>17</v>
      </c>
      <c r="D4" t="inlineStr">
        <is>
          <t>Q</t>
        </is>
      </c>
      <c r="E4" t="inlineStr">
        <is>
          <t>Q4</t>
        </is>
      </c>
    </row>
    <row r="5">
      <c r="A5" t="inlineStr">
        <is>
          <t>U11.SI</t>
        </is>
      </c>
      <c r="B5" t="inlineStr">
        <is>
          <t>U11 SP Equity</t>
        </is>
      </c>
      <c r="C5" t="n">
        <v>25</v>
      </c>
      <c r="D5" t="inlineStr">
        <is>
          <t>Y</t>
        </is>
      </c>
      <c r="E5" t="inlineStr">
        <is>
          <t>Y4</t>
        </is>
      </c>
    </row>
    <row r="6">
      <c r="A6" t="inlineStr">
        <is>
          <t>S63.SI</t>
        </is>
      </c>
      <c r="B6" t="inlineStr">
        <is>
          <t>S63 SP Equity</t>
        </is>
      </c>
      <c r="C6" t="n">
        <v>33</v>
      </c>
      <c r="D6" t="inlineStr">
        <is>
          <t>AG</t>
        </is>
      </c>
      <c r="E6" t="inlineStr">
        <is>
          <t>AG4</t>
        </is>
      </c>
    </row>
    <row r="7">
      <c r="A7" t="inlineStr">
        <is>
          <t>S68.SI</t>
        </is>
      </c>
      <c r="B7" t="inlineStr">
        <is>
          <t>S68 SP Equity</t>
        </is>
      </c>
      <c r="C7" t="n">
        <v>41</v>
      </c>
      <c r="D7" t="inlineStr">
        <is>
          <t>AO</t>
        </is>
      </c>
      <c r="E7" t="inlineStr">
        <is>
          <t>AO4</t>
        </is>
      </c>
    </row>
    <row r="8">
      <c r="A8" t="inlineStr">
        <is>
          <t>J36.SI</t>
        </is>
      </c>
      <c r="B8" t="inlineStr">
        <is>
          <t>J36 SP Equity</t>
        </is>
      </c>
      <c r="C8" t="n">
        <v>49</v>
      </c>
      <c r="D8" t="inlineStr">
        <is>
          <t>AW</t>
        </is>
      </c>
      <c r="E8" t="inlineStr">
        <is>
          <t>AW4</t>
        </is>
      </c>
    </row>
    <row r="9">
      <c r="A9" t="inlineStr">
        <is>
          <t>C6L.SI</t>
        </is>
      </c>
      <c r="B9" t="inlineStr">
        <is>
          <t>C6L SP Equity</t>
        </is>
      </c>
      <c r="C9" t="n">
        <v>57</v>
      </c>
      <c r="D9" t="inlineStr">
        <is>
          <t>BE</t>
        </is>
      </c>
      <c r="E9" t="inlineStr">
        <is>
          <t>BE4</t>
        </is>
      </c>
    </row>
    <row r="10">
      <c r="A10" t="inlineStr">
        <is>
          <t>F34.SI</t>
        </is>
      </c>
      <c r="B10" t="inlineStr">
        <is>
          <t>F34 SP Equity</t>
        </is>
      </c>
      <c r="C10" t="n">
        <v>65</v>
      </c>
      <c r="D10" t="inlineStr">
        <is>
          <t>BM</t>
        </is>
      </c>
      <c r="E10" t="inlineStr">
        <is>
          <t>BM4</t>
        </is>
      </c>
    </row>
    <row r="11">
      <c r="A11" t="inlineStr">
        <is>
          <t>H78.SI</t>
        </is>
      </c>
      <c r="B11" t="inlineStr">
        <is>
          <t>H78 SP Equity</t>
        </is>
      </c>
      <c r="C11" t="n">
        <v>73</v>
      </c>
      <c r="D11" t="inlineStr">
        <is>
          <t>BU</t>
        </is>
      </c>
      <c r="E11" t="inlineStr">
        <is>
          <t>BU4</t>
        </is>
      </c>
    </row>
    <row r="12">
      <c r="A12" t="inlineStr">
        <is>
          <t>BN4.SI</t>
        </is>
      </c>
      <c r="B12" t="inlineStr">
        <is>
          <t>BN4 SP Equity</t>
        </is>
      </c>
      <c r="C12" t="n">
        <v>81</v>
      </c>
      <c r="D12" t="inlineStr">
        <is>
          <t>CC</t>
        </is>
      </c>
      <c r="E12" t="inlineStr">
        <is>
          <t>CC4</t>
        </is>
      </c>
    </row>
    <row r="13">
      <c r="A13" t="inlineStr">
        <is>
          <t>C38U.SI</t>
        </is>
      </c>
      <c r="B13" t="inlineStr">
        <is>
          <t>C38U SP Equity</t>
        </is>
      </c>
      <c r="C13" t="n">
        <v>89</v>
      </c>
      <c r="D13" t="inlineStr">
        <is>
          <t>CK</t>
        </is>
      </c>
      <c r="E13" t="inlineStr">
        <is>
          <t>CK4</t>
        </is>
      </c>
    </row>
    <row r="14">
      <c r="A14" t="inlineStr">
        <is>
          <t>U14.SI</t>
        </is>
      </c>
      <c r="B14" t="inlineStr">
        <is>
          <t>U14 SP Equity</t>
        </is>
      </c>
      <c r="C14" t="n">
        <v>97</v>
      </c>
      <c r="D14" t="inlineStr">
        <is>
          <t>CS</t>
        </is>
      </c>
      <c r="E14" t="inlineStr">
        <is>
          <t>CS4</t>
        </is>
      </c>
    </row>
    <row r="15">
      <c r="A15" t="inlineStr">
        <is>
          <t>5E2.SI</t>
        </is>
      </c>
      <c r="B15" t="inlineStr">
        <is>
          <t>5E2 SP Equity</t>
        </is>
      </c>
      <c r="C15" t="n">
        <v>105</v>
      </c>
      <c r="D15" t="inlineStr">
        <is>
          <t>DA</t>
        </is>
      </c>
      <c r="E15" t="inlineStr">
        <is>
          <t>DA4</t>
        </is>
      </c>
    </row>
    <row r="16">
      <c r="A16" t="inlineStr">
        <is>
          <t>G13.SI</t>
        </is>
      </c>
      <c r="B16" t="inlineStr">
        <is>
          <t>G13 SP Equity</t>
        </is>
      </c>
      <c r="C16" t="n">
        <v>113</v>
      </c>
      <c r="D16" t="inlineStr">
        <is>
          <t>DI</t>
        </is>
      </c>
      <c r="E16" t="inlineStr">
        <is>
          <t>DI4</t>
        </is>
      </c>
    </row>
    <row r="17">
      <c r="A17" t="inlineStr">
        <is>
          <t>S58.SI</t>
        </is>
      </c>
      <c r="B17" t="inlineStr">
        <is>
          <t>S58 SP Equity</t>
        </is>
      </c>
      <c r="C17" t="n">
        <v>121</v>
      </c>
      <c r="D17" t="inlineStr">
        <is>
          <t>DQ</t>
        </is>
      </c>
      <c r="E17" t="inlineStr">
        <is>
          <t>DQ4</t>
        </is>
      </c>
    </row>
    <row r="18">
      <c r="A18" t="inlineStr">
        <is>
          <t>N2IU.SI</t>
        </is>
      </c>
      <c r="B18" t="inlineStr">
        <is>
          <t>N2IU SP Equity</t>
        </is>
      </c>
      <c r="C18" t="n">
        <v>129</v>
      </c>
      <c r="D18" t="inlineStr">
        <is>
          <t>DY</t>
        </is>
      </c>
      <c r="E18" t="inlineStr">
        <is>
          <t>DY4</t>
        </is>
      </c>
    </row>
    <row r="19">
      <c r="A19" t="inlineStr">
        <is>
          <t>C09.SI</t>
        </is>
      </c>
      <c r="B19" t="inlineStr">
        <is>
          <t>C09 SP Equity</t>
        </is>
      </c>
      <c r="C19" t="n">
        <v>137</v>
      </c>
      <c r="D19" t="inlineStr">
        <is>
          <t>EG</t>
        </is>
      </c>
      <c r="E19" t="inlineStr">
        <is>
          <t>EG4</t>
        </is>
      </c>
    </row>
    <row r="20">
      <c r="A20" t="inlineStr">
        <is>
          <t>D01.SI</t>
        </is>
      </c>
      <c r="B20" t="inlineStr">
        <is>
          <t>D01 SP Equity</t>
        </is>
      </c>
      <c r="C20" t="n">
        <v>145</v>
      </c>
      <c r="D20" t="inlineStr">
        <is>
          <t>EO</t>
        </is>
      </c>
      <c r="E20" t="inlineStr">
        <is>
          <t>EO4</t>
        </is>
      </c>
    </row>
    <row r="21">
      <c r="A21" t="inlineStr">
        <is>
          <t>M44U.SI</t>
        </is>
      </c>
      <c r="B21" t="inlineStr">
        <is>
          <t>M44U SP Equity</t>
        </is>
      </c>
      <c r="C21" t="n">
        <v>153</v>
      </c>
      <c r="D21" t="inlineStr">
        <is>
          <t>EW</t>
        </is>
      </c>
      <c r="E21" t="inlineStr">
        <is>
          <t>EW4</t>
        </is>
      </c>
    </row>
    <row r="22">
      <c r="A22" t="inlineStr">
        <is>
          <t>EB5.SI</t>
        </is>
      </c>
      <c r="B22" t="inlineStr">
        <is>
          <t>EB5 SP Equity</t>
        </is>
      </c>
      <c r="C22" t="n">
        <v>161</v>
      </c>
      <c r="D22" t="inlineStr">
        <is>
          <t>FE</t>
        </is>
      </c>
      <c r="E22" t="inlineStr">
        <is>
          <t>FE4</t>
        </is>
      </c>
    </row>
    <row r="23">
      <c r="A23" t="inlineStr">
        <is>
          <t>ME8U.SI</t>
        </is>
      </c>
      <c r="B23" t="inlineStr">
        <is>
          <t>ME8U SP Equity</t>
        </is>
      </c>
      <c r="C23" t="n">
        <v>169</v>
      </c>
      <c r="D23" t="inlineStr">
        <is>
          <t>FM</t>
        </is>
      </c>
      <c r="E23" t="inlineStr">
        <is>
          <t>FM4</t>
        </is>
      </c>
    </row>
    <row r="24">
      <c r="A24" t="inlineStr">
        <is>
          <t>AJBU.SI</t>
        </is>
      </c>
      <c r="B24" t="inlineStr">
        <is>
          <t>AJBU SP Equity</t>
        </is>
      </c>
      <c r="C24" t="n">
        <v>177</v>
      </c>
      <c r="D24" t="inlineStr">
        <is>
          <t>FU</t>
        </is>
      </c>
      <c r="E24" t="inlineStr">
        <is>
          <t>FU4</t>
        </is>
      </c>
    </row>
    <row r="25">
      <c r="A25" t="inlineStr">
        <is>
          <t>VC2.SI</t>
        </is>
      </c>
      <c r="B25" t="inlineStr">
        <is>
          <t>VC2 SP Equity</t>
        </is>
      </c>
      <c r="C25" t="n">
        <v>185</v>
      </c>
      <c r="D25" t="inlineStr">
        <is>
          <t>GC</t>
        </is>
      </c>
      <c r="E25" t="inlineStr">
        <is>
          <t>GC4</t>
        </is>
      </c>
    </row>
    <row r="26">
      <c r="A26" t="inlineStr">
        <is>
          <t>U06.SI</t>
        </is>
      </c>
      <c r="B26" t="inlineStr">
        <is>
          <t>U06 SP Equity</t>
        </is>
      </c>
      <c r="C26" t="n">
        <v>193</v>
      </c>
      <c r="D26" t="inlineStr">
        <is>
          <t>GK</t>
        </is>
      </c>
      <c r="E26" t="inlineStr">
        <is>
          <t>GK4</t>
        </is>
      </c>
    </row>
    <row r="27">
      <c r="A27" t="inlineStr">
        <is>
          <t>OV8.SI</t>
        </is>
      </c>
      <c r="B27" t="inlineStr">
        <is>
          <t>OV8 SP Equity</t>
        </is>
      </c>
      <c r="C27" t="n">
        <v>201</v>
      </c>
      <c r="D27" t="inlineStr">
        <is>
          <t>GS</t>
        </is>
      </c>
      <c r="E27" t="inlineStr">
        <is>
          <t>GS4</t>
        </is>
      </c>
    </row>
    <row r="28">
      <c r="A28" t="inlineStr">
        <is>
          <t>V03.SI</t>
        </is>
      </c>
      <c r="B28" t="inlineStr">
        <is>
          <t>V03 SP Equity</t>
        </is>
      </c>
      <c r="C28" t="n">
        <v>209</v>
      </c>
      <c r="D28" t="inlineStr">
        <is>
          <t>HA</t>
        </is>
      </c>
      <c r="E28" t="inlineStr">
        <is>
          <t>HA4</t>
        </is>
      </c>
    </row>
    <row r="29">
      <c r="A29" t="inlineStr">
        <is>
          <t>J69U.SI</t>
        </is>
      </c>
      <c r="B29" t="inlineStr">
        <is>
          <t>J69U SP Equity</t>
        </is>
      </c>
      <c r="C29" t="n">
        <v>217</v>
      </c>
      <c r="D29" t="inlineStr">
        <is>
          <t>HI</t>
        </is>
      </c>
      <c r="E29" t="inlineStr">
        <is>
          <t>HI4</t>
        </is>
      </c>
    </row>
    <row r="30">
      <c r="A30" t="inlineStr">
        <is>
          <t>T82U.SI</t>
        </is>
      </c>
      <c r="B30" t="inlineStr">
        <is>
          <t>T82U SP Equity</t>
        </is>
      </c>
      <c r="C30" t="n">
        <v>225</v>
      </c>
      <c r="D30" t="inlineStr">
        <is>
          <t>HQ</t>
        </is>
      </c>
      <c r="E30" t="inlineStr">
        <is>
          <t>HQ4</t>
        </is>
      </c>
    </row>
    <row r="31">
      <c r="A31" t="inlineStr">
        <is>
          <t>K71U.SI</t>
        </is>
      </c>
      <c r="B31" t="inlineStr">
        <is>
          <t>K71U SP Equity</t>
        </is>
      </c>
      <c r="C31" t="n">
        <v>233</v>
      </c>
      <c r="D31" t="inlineStr">
        <is>
          <t>HY</t>
        </is>
      </c>
      <c r="E31" t="inlineStr">
        <is>
          <t>HY4</t>
        </is>
      </c>
    </row>
    <row r="32">
      <c r="A32" t="inlineStr">
        <is>
          <t>U10.SI</t>
        </is>
      </c>
      <c r="B32" t="inlineStr">
        <is>
          <t>U10 SP Equity</t>
        </is>
      </c>
      <c r="C32" t="n">
        <v>241</v>
      </c>
      <c r="D32" t="inlineStr">
        <is>
          <t>IG</t>
        </is>
      </c>
      <c r="E32" t="inlineStr">
        <is>
          <t>IG4</t>
        </is>
      </c>
    </row>
    <row r="33">
      <c r="A33" t="inlineStr">
        <is>
          <t>TQ5.SI</t>
        </is>
      </c>
      <c r="B33" t="inlineStr">
        <is>
          <t>TQ5 SP Equity</t>
        </is>
      </c>
      <c r="C33" t="n">
        <v>249</v>
      </c>
      <c r="D33" t="inlineStr">
        <is>
          <t>IO</t>
        </is>
      </c>
      <c r="E33" t="inlineStr">
        <is>
          <t>IO4</t>
        </is>
      </c>
    </row>
    <row r="34">
      <c r="A34" t="inlineStr">
        <is>
          <t>CJL.SI</t>
        </is>
      </c>
      <c r="B34" t="inlineStr">
        <is>
          <t>CJL SP Equity</t>
        </is>
      </c>
      <c r="C34" t="n">
        <v>257</v>
      </c>
      <c r="D34" t="inlineStr">
        <is>
          <t>IW</t>
        </is>
      </c>
      <c r="E34" t="inlineStr">
        <is>
          <t>IW4</t>
        </is>
      </c>
    </row>
    <row r="35">
      <c r="A35" t="inlineStr">
        <is>
          <t>BUOU.SI</t>
        </is>
      </c>
      <c r="B35" t="inlineStr">
        <is>
          <t>BUOU SP Equity</t>
        </is>
      </c>
      <c r="C35" t="n">
        <v>265</v>
      </c>
      <c r="D35" t="inlineStr">
        <is>
          <t>JE</t>
        </is>
      </c>
      <c r="E35" t="inlineStr">
        <is>
          <t>JE4</t>
        </is>
      </c>
    </row>
    <row r="36">
      <c r="A36" t="inlineStr">
        <is>
          <t>S59.SI</t>
        </is>
      </c>
      <c r="B36" t="inlineStr">
        <is>
          <t>S59 SP Equity</t>
        </is>
      </c>
      <c r="C36" t="n">
        <v>273</v>
      </c>
      <c r="D36" t="inlineStr">
        <is>
          <t>JM</t>
        </is>
      </c>
      <c r="E36" t="inlineStr">
        <is>
          <t>JM4</t>
        </is>
      </c>
    </row>
    <row r="37">
      <c r="A37" t="inlineStr">
        <is>
          <t>E5H.SI</t>
        </is>
      </c>
      <c r="B37" t="inlineStr">
        <is>
          <t>E5H SP Equity</t>
        </is>
      </c>
      <c r="C37" t="n">
        <v>281</v>
      </c>
      <c r="D37" t="inlineStr">
        <is>
          <t>JU</t>
        </is>
      </c>
      <c r="E37" t="inlineStr">
        <is>
          <t>JU4</t>
        </is>
      </c>
    </row>
    <row r="38">
      <c r="A38" t="inlineStr">
        <is>
          <t>H02.SI</t>
        </is>
      </c>
      <c r="B38" t="inlineStr">
        <is>
          <t>H02 SP Equity</t>
        </is>
      </c>
      <c r="C38" t="n">
        <v>289</v>
      </c>
      <c r="D38" t="inlineStr">
        <is>
          <t>KC</t>
        </is>
      </c>
      <c r="E38" t="inlineStr">
        <is>
          <t>KC4</t>
        </is>
      </c>
    </row>
    <row r="39">
      <c r="A39" t="inlineStr">
        <is>
          <t>HMN.SI</t>
        </is>
      </c>
      <c r="B39" t="inlineStr">
        <is>
          <t>HMN SP Equity</t>
        </is>
      </c>
      <c r="C39" t="n">
        <v>297</v>
      </c>
      <c r="D39" t="inlineStr">
        <is>
          <t>KK</t>
        </is>
      </c>
      <c r="E39" t="inlineStr">
        <is>
          <t>KK4</t>
        </is>
      </c>
    </row>
    <row r="40">
      <c r="A40" t="inlineStr">
        <is>
          <t>A7RU.SI</t>
        </is>
      </c>
      <c r="B40" t="inlineStr">
        <is>
          <t>A7RU SP Equity</t>
        </is>
      </c>
      <c r="C40" t="n">
        <v>305</v>
      </c>
      <c r="D40" t="inlineStr">
        <is>
          <t>KS</t>
        </is>
      </c>
      <c r="E40" t="inlineStr">
        <is>
          <t>KS4</t>
        </is>
      </c>
    </row>
    <row r="41">
      <c r="A41" t="inlineStr">
        <is>
          <t>P8Z.SI</t>
        </is>
      </c>
      <c r="B41" t="inlineStr">
        <is>
          <t>P8Z SP Equity</t>
        </is>
      </c>
      <c r="C41" t="n">
        <v>313</v>
      </c>
      <c r="D41" t="inlineStr">
        <is>
          <t>LA</t>
        </is>
      </c>
      <c r="E41" t="inlineStr">
        <is>
          <t>LA4</t>
        </is>
      </c>
    </row>
    <row r="42">
      <c r="A42" t="inlineStr">
        <is>
          <t>C52.SI</t>
        </is>
      </c>
      <c r="B42" t="inlineStr">
        <is>
          <t>C52 SP Equity</t>
        </is>
      </c>
      <c r="C42" t="n">
        <v>321</v>
      </c>
      <c r="D42" t="inlineStr">
        <is>
          <t>LI</t>
        </is>
      </c>
      <c r="E42" t="inlineStr">
        <is>
          <t>LI4</t>
        </is>
      </c>
    </row>
    <row r="43">
      <c r="A43" t="inlineStr">
        <is>
          <t>AWX.SI</t>
        </is>
      </c>
      <c r="B43" t="inlineStr">
        <is>
          <t>AWX SP Equity</t>
        </is>
      </c>
      <c r="C43" t="n">
        <v>329</v>
      </c>
      <c r="D43" t="inlineStr">
        <is>
          <t>LQ</t>
        </is>
      </c>
      <c r="E43" t="inlineStr">
        <is>
          <t>LQ4</t>
        </is>
      </c>
    </row>
    <row r="44">
      <c r="A44" t="inlineStr">
        <is>
          <t>AIY.SI</t>
        </is>
      </c>
      <c r="B44" t="inlineStr">
        <is>
          <t>AIY SP Equity</t>
        </is>
      </c>
      <c r="C44" t="n">
        <v>337</v>
      </c>
      <c r="D44" t="inlineStr">
        <is>
          <t>LY</t>
        </is>
      </c>
      <c r="E44" t="inlineStr">
        <is>
          <t>LY4</t>
        </is>
      </c>
    </row>
    <row r="45">
      <c r="A45" t="inlineStr">
        <is>
          <t>C2PU.SI</t>
        </is>
      </c>
      <c r="B45" t="inlineStr">
        <is>
          <t>C2PU SP Equity</t>
        </is>
      </c>
      <c r="C45" t="n">
        <v>345</v>
      </c>
      <c r="D45" t="inlineStr">
        <is>
          <t>MG</t>
        </is>
      </c>
      <c r="E45" t="inlineStr">
        <is>
          <t>MG4</t>
        </is>
      </c>
    </row>
    <row r="46">
      <c r="A46" t="inlineStr">
        <is>
          <t>F17.SI</t>
        </is>
      </c>
      <c r="B46" t="inlineStr">
        <is>
          <t>F17 SP Equity</t>
        </is>
      </c>
      <c r="C46" t="n">
        <v>353</v>
      </c>
      <c r="D46" t="inlineStr">
        <is>
          <t>MO</t>
        </is>
      </c>
      <c r="E46" t="inlineStr">
        <is>
          <t>MO4</t>
        </is>
      </c>
    </row>
    <row r="47">
      <c r="A47" t="inlineStr">
        <is>
          <t>H15.SI</t>
        </is>
      </c>
      <c r="B47" t="inlineStr">
        <is>
          <t>H15 SP Equity</t>
        </is>
      </c>
      <c r="C47" t="n">
        <v>361</v>
      </c>
      <c r="D47" t="inlineStr">
        <is>
          <t>MW</t>
        </is>
      </c>
      <c r="E47" t="inlineStr">
        <is>
          <t>MW4</t>
        </is>
      </c>
    </row>
    <row r="48">
      <c r="A48" t="inlineStr">
        <is>
          <t>H22.SI</t>
        </is>
      </c>
      <c r="B48" t="inlineStr">
        <is>
          <t>H22 SP Equity</t>
        </is>
      </c>
      <c r="C48" t="n">
        <v>369</v>
      </c>
      <c r="D48" t="inlineStr">
        <is>
          <t>NE</t>
        </is>
      </c>
      <c r="E48" t="inlineStr">
        <is>
          <t>NE4</t>
        </is>
      </c>
    </row>
    <row r="49">
      <c r="A49" t="inlineStr">
        <is>
          <t>558.SI</t>
        </is>
      </c>
      <c r="B49" t="inlineStr">
        <is>
          <t>558 SP Equity</t>
        </is>
      </c>
      <c r="C49" t="n">
        <v>377</v>
      </c>
      <c r="D49" t="inlineStr">
        <is>
          <t>NM</t>
        </is>
      </c>
      <c r="E49" t="inlineStr">
        <is>
          <t>NM4</t>
        </is>
      </c>
    </row>
    <row r="50">
      <c r="A50" t="inlineStr">
        <is>
          <t>NS8U.SI</t>
        </is>
      </c>
      <c r="B50" t="inlineStr">
        <is>
          <t>NS8U SP Equity</t>
        </is>
      </c>
      <c r="C50" t="n">
        <v>385</v>
      </c>
      <c r="D50" t="inlineStr">
        <is>
          <t>NU</t>
        </is>
      </c>
      <c r="E50" t="inlineStr">
        <is>
          <t>NU4</t>
        </is>
      </c>
    </row>
    <row r="51">
      <c r="A51" t="inlineStr">
        <is>
          <t>8Y.SI</t>
        </is>
      </c>
      <c r="B51" t="inlineStr">
        <is>
          <t>8Y SP Equity</t>
        </is>
      </c>
      <c r="C51" t="n">
        <v>393</v>
      </c>
      <c r="D51" t="inlineStr">
        <is>
          <t>OC</t>
        </is>
      </c>
      <c r="E51" t="inlineStr">
        <is>
          <t>OC4</t>
        </is>
      </c>
    </row>
    <row r="52">
      <c r="A52" t="inlineStr">
        <is>
          <t>F99.SI</t>
        </is>
      </c>
      <c r="B52" t="inlineStr">
        <is>
          <t>F99 SP Equity</t>
        </is>
      </c>
      <c r="C52" t="n">
        <v>401</v>
      </c>
      <c r="D52" t="inlineStr">
        <is>
          <t>OK</t>
        </is>
      </c>
      <c r="E52" t="inlineStr">
        <is>
          <t>OK4</t>
        </is>
      </c>
    </row>
    <row r="53">
      <c r="A53" t="inlineStr">
        <is>
          <t>TS0U.SI</t>
        </is>
      </c>
      <c r="B53" t="inlineStr">
        <is>
          <t>TS0U SP Equity</t>
        </is>
      </c>
      <c r="C53" t="n">
        <v>409</v>
      </c>
      <c r="D53" t="inlineStr">
        <is>
          <t>OS</t>
        </is>
      </c>
      <c r="E53" t="inlineStr">
        <is>
          <t>OS4</t>
        </is>
      </c>
    </row>
    <row r="54">
      <c r="A54" t="inlineStr">
        <is>
          <t>9A4U.SI</t>
        </is>
      </c>
      <c r="B54" t="inlineStr">
        <is>
          <t>9A4U SP Equity</t>
        </is>
      </c>
      <c r="C54" t="n">
        <v>417</v>
      </c>
      <c r="D54" t="inlineStr">
        <is>
          <t>PA</t>
        </is>
      </c>
      <c r="E54" t="inlineStr">
        <is>
          <t>PA4</t>
        </is>
      </c>
    </row>
    <row r="55">
      <c r="A55" t="inlineStr">
        <is>
          <t>8C8U.SI</t>
        </is>
      </c>
      <c r="B55" t="inlineStr">
        <is>
          <t>8C8U SP Equity</t>
        </is>
      </c>
      <c r="C55" t="n">
        <v>425</v>
      </c>
      <c r="D55" t="inlineStr">
        <is>
          <t>PI</t>
        </is>
      </c>
      <c r="E55" t="inlineStr">
        <is>
          <t>PI4</t>
        </is>
      </c>
    </row>
    <row r="56">
      <c r="A56" t="inlineStr">
        <is>
          <t>SEB.SI</t>
        </is>
      </c>
      <c r="B56" t="inlineStr">
        <is>
          <t>SEB SP Equity</t>
        </is>
      </c>
      <c r="C56" t="n">
        <v>433</v>
      </c>
      <c r="D56" t="inlineStr">
        <is>
          <t>PQ</t>
        </is>
      </c>
      <c r="E56" t="inlineStr">
        <is>
          <t>PQ4</t>
        </is>
      </c>
    </row>
    <row r="57">
      <c r="A57" t="inlineStr">
        <is>
          <t>Z25.SI</t>
        </is>
      </c>
      <c r="B57" t="inlineStr">
        <is>
          <t>Z25 SP Equity</t>
        </is>
      </c>
      <c r="C57" t="n">
        <v>441</v>
      </c>
      <c r="D57" t="inlineStr">
        <is>
          <t>PY</t>
        </is>
      </c>
      <c r="E57" t="inlineStr">
        <is>
          <t>PY4</t>
        </is>
      </c>
    </row>
    <row r="58">
      <c r="A58" t="inlineStr">
        <is>
          <t>AP4.SI</t>
        </is>
      </c>
      <c r="B58" t="inlineStr">
        <is>
          <t>AP4 SP Equity</t>
        </is>
      </c>
      <c r="C58" t="n">
        <v>449</v>
      </c>
      <c r="D58" t="inlineStr">
        <is>
          <t>QG</t>
        </is>
      </c>
      <c r="E58" t="inlineStr">
        <is>
          <t>QG4</t>
        </is>
      </c>
    </row>
    <row r="59">
      <c r="A59" t="inlineStr">
        <is>
          <t>P40U.SI</t>
        </is>
      </c>
      <c r="B59" t="inlineStr">
        <is>
          <t>P40U SP Equity</t>
        </is>
      </c>
      <c r="C59" t="n">
        <v>457</v>
      </c>
      <c r="D59" t="inlineStr">
        <is>
          <t>QO</t>
        </is>
      </c>
      <c r="E59" t="inlineStr">
        <is>
          <t>QO4</t>
        </is>
      </c>
    </row>
    <row r="60">
      <c r="A60" t="inlineStr">
        <is>
          <t>B61.SI</t>
        </is>
      </c>
      <c r="B60" t="inlineStr">
        <is>
          <t>B61 SP Equity</t>
        </is>
      </c>
      <c r="C60" t="n">
        <v>465</v>
      </c>
      <c r="D60" t="inlineStr">
        <is>
          <t>QW</t>
        </is>
      </c>
      <c r="E60" t="inlineStr">
        <is>
          <t>QW4</t>
        </is>
      </c>
    </row>
    <row r="61">
      <c r="A61" t="inlineStr">
        <is>
          <t>NTDU.SI</t>
        </is>
      </c>
      <c r="B61" t="inlineStr">
        <is>
          <t>NTDU SP Equity</t>
        </is>
      </c>
      <c r="C61" t="n">
        <v>473</v>
      </c>
      <c r="D61" t="inlineStr">
        <is>
          <t>RE</t>
        </is>
      </c>
      <c r="E61" t="inlineStr">
        <is>
          <t>RE4</t>
        </is>
      </c>
    </row>
    <row r="62">
      <c r="A62" t="inlineStr">
        <is>
          <t>W05.SI</t>
        </is>
      </c>
      <c r="B62" t="inlineStr">
        <is>
          <t>W05 SP Equity</t>
        </is>
      </c>
      <c r="C62" t="n">
        <v>481</v>
      </c>
      <c r="D62" t="inlineStr">
        <is>
          <t>RM</t>
        </is>
      </c>
      <c r="E62" t="inlineStr">
        <is>
          <t>RM4</t>
        </is>
      </c>
    </row>
    <row r="63">
      <c r="A63" t="inlineStr">
        <is>
          <t>Q5T.SI</t>
        </is>
      </c>
      <c r="B63" t="inlineStr">
        <is>
          <t>Q5T SP Equity</t>
        </is>
      </c>
      <c r="C63" t="n">
        <v>489</v>
      </c>
      <c r="D63" t="inlineStr">
        <is>
          <t>RU</t>
        </is>
      </c>
      <c r="E63" t="inlineStr">
        <is>
          <t>RU4</t>
        </is>
      </c>
    </row>
    <row r="64">
      <c r="A64" t="inlineStr">
        <is>
          <t>BEC.SI</t>
        </is>
      </c>
      <c r="B64" t="inlineStr">
        <is>
          <t>BEC SP Equity</t>
        </is>
      </c>
      <c r="C64" t="n">
        <v>497</v>
      </c>
      <c r="D64" t="inlineStr">
        <is>
          <t>SC</t>
        </is>
      </c>
      <c r="E64" t="inlineStr">
        <is>
          <t>SC4</t>
        </is>
      </c>
    </row>
    <row r="65">
      <c r="A65" t="inlineStr">
        <is>
          <t>E28.SI</t>
        </is>
      </c>
      <c r="B65" t="inlineStr">
        <is>
          <t>E28 SP Equity</t>
        </is>
      </c>
      <c r="C65" t="n">
        <v>505</v>
      </c>
      <c r="D65" t="inlineStr">
        <is>
          <t>SK</t>
        </is>
      </c>
      <c r="E65" t="inlineStr">
        <is>
          <t>SK4</t>
        </is>
      </c>
    </row>
    <row r="66">
      <c r="A66" t="inlineStr">
        <is>
          <t>UIBU.SI</t>
        </is>
      </c>
      <c r="B66" t="inlineStr">
        <is>
          <t>UIBU SP Equity</t>
        </is>
      </c>
      <c r="C66" t="n">
        <v>513</v>
      </c>
      <c r="D66" t="inlineStr">
        <is>
          <t>SS</t>
        </is>
      </c>
      <c r="E66" t="inlineStr">
        <is>
          <t>SS4</t>
        </is>
      </c>
    </row>
    <row r="67">
      <c r="A67" t="inlineStr">
        <is>
          <t>AU8U.SI</t>
        </is>
      </c>
      <c r="B67" t="inlineStr">
        <is>
          <t>AU8U SP Equity</t>
        </is>
      </c>
      <c r="C67" t="n">
        <v>521</v>
      </c>
      <c r="D67" t="inlineStr">
        <is>
          <t>TA</t>
        </is>
      </c>
      <c r="E67" t="inlineStr">
        <is>
          <t>TA4</t>
        </is>
      </c>
    </row>
    <row r="68">
      <c r="A68" t="inlineStr">
        <is>
          <t>P52.SI</t>
        </is>
      </c>
      <c r="B68" t="inlineStr">
        <is>
          <t>P52 SP Equity</t>
        </is>
      </c>
      <c r="C68" t="n">
        <v>529</v>
      </c>
      <c r="D68" t="inlineStr">
        <is>
          <t>TI</t>
        </is>
      </c>
      <c r="E68" t="inlineStr">
        <is>
          <t>TI4</t>
        </is>
      </c>
    </row>
    <row r="69">
      <c r="A69" t="inlineStr">
        <is>
          <t>S41.SI</t>
        </is>
      </c>
      <c r="B69" t="inlineStr">
        <is>
          <t>S41 SP Equity</t>
        </is>
      </c>
      <c r="C69" t="n">
        <v>537</v>
      </c>
      <c r="D69" t="inlineStr">
        <is>
          <t>TQ</t>
        </is>
      </c>
      <c r="E69" t="inlineStr">
        <is>
          <t>TQ4</t>
        </is>
      </c>
    </row>
    <row r="70">
      <c r="A70" t="inlineStr">
        <is>
          <t>S61.SI</t>
        </is>
      </c>
      <c r="B70" t="inlineStr">
        <is>
          <t>S61 SP Equity</t>
        </is>
      </c>
      <c r="C70" t="n">
        <v>545</v>
      </c>
      <c r="D70" t="inlineStr">
        <is>
          <t>TY</t>
        </is>
      </c>
      <c r="E70" t="inlineStr">
        <is>
          <t>TY4</t>
        </is>
      </c>
    </row>
    <row r="71">
      <c r="A71" t="inlineStr">
        <is>
          <t>PCT.SI</t>
        </is>
      </c>
      <c r="B71" t="inlineStr">
        <is>
          <t>PCT SP Equity</t>
        </is>
      </c>
      <c r="C71" t="n">
        <v>553</v>
      </c>
      <c r="D71" t="inlineStr">
        <is>
          <t>UG</t>
        </is>
      </c>
      <c r="E71" t="inlineStr">
        <is>
          <t>UG4</t>
        </is>
      </c>
    </row>
    <row r="72">
      <c r="A72" t="inlineStr">
        <is>
          <t>ADN.SI</t>
        </is>
      </c>
      <c r="B72" t="inlineStr">
        <is>
          <t>ADN SP Equity</t>
        </is>
      </c>
      <c r="C72" t="n">
        <v>561</v>
      </c>
      <c r="D72" t="inlineStr">
        <is>
          <t>UO</t>
        </is>
      </c>
      <c r="E72" t="inlineStr">
        <is>
          <t>UO4</t>
        </is>
      </c>
    </row>
    <row r="73">
      <c r="A73" t="inlineStr">
        <is>
          <t>F9D.SI</t>
        </is>
      </c>
      <c r="B73" t="inlineStr">
        <is>
          <t>F9D SP Equity</t>
        </is>
      </c>
      <c r="C73" t="n">
        <v>569</v>
      </c>
      <c r="D73" t="inlineStr">
        <is>
          <t>UW</t>
        </is>
      </c>
      <c r="E73" t="inlineStr">
        <is>
          <t>UW4</t>
        </is>
      </c>
    </row>
    <row r="74">
      <c r="A74" t="inlineStr">
        <is>
          <t>FHH.SI</t>
        </is>
      </c>
      <c r="B74" t="inlineStr">
        <is>
          <t>FHH SP Equity</t>
        </is>
      </c>
      <c r="C74" t="n">
        <v>577</v>
      </c>
      <c r="D74" t="inlineStr">
        <is>
          <t>VE</t>
        </is>
      </c>
      <c r="E74" t="inlineStr">
        <is>
          <t>VE4</t>
        </is>
      </c>
    </row>
    <row r="75">
      <c r="A75" t="inlineStr">
        <is>
          <t>J85.SI</t>
        </is>
      </c>
      <c r="B75" t="inlineStr">
        <is>
          <t>J85 SP Equity</t>
        </is>
      </c>
      <c r="C75" t="n">
        <v>585</v>
      </c>
      <c r="D75" t="inlineStr">
        <is>
          <t>VM</t>
        </is>
      </c>
      <c r="E75" t="inlineStr">
        <is>
          <t>VM4</t>
        </is>
      </c>
    </row>
    <row r="76">
      <c r="A76" t="inlineStr">
        <is>
          <t>T6I.SI</t>
        </is>
      </c>
      <c r="B76" t="inlineStr">
        <is>
          <t>T6I SP Equity</t>
        </is>
      </c>
      <c r="C76" t="n">
        <v>593</v>
      </c>
      <c r="D76" t="inlineStr">
        <is>
          <t>VU</t>
        </is>
      </c>
      <c r="E76" t="inlineStr">
        <is>
          <t>VU4</t>
        </is>
      </c>
    </row>
    <row r="77">
      <c r="A77" t="inlineStr">
        <is>
          <t>RE4.SI</t>
        </is>
      </c>
      <c r="B77" t="inlineStr">
        <is>
          <t>RE4 SP Equity</t>
        </is>
      </c>
      <c r="C77" t="n">
        <v>601</v>
      </c>
      <c r="D77" t="inlineStr">
        <is>
          <t>WC</t>
        </is>
      </c>
      <c r="E77" t="inlineStr">
        <is>
          <t>WC4</t>
        </is>
      </c>
    </row>
    <row r="78">
      <c r="A78" t="inlineStr">
        <is>
          <t>544.SI</t>
        </is>
      </c>
      <c r="B78" t="inlineStr">
        <is>
          <t>544 SP Equity</t>
        </is>
      </c>
      <c r="C78" t="n">
        <v>609</v>
      </c>
      <c r="D78" t="inlineStr">
        <is>
          <t>WK</t>
        </is>
      </c>
      <c r="E78" t="inlineStr">
        <is>
          <t>WK4</t>
        </is>
      </c>
    </row>
    <row r="79">
      <c r="A79" t="inlineStr">
        <is>
          <t>CRPU.SI</t>
        </is>
      </c>
      <c r="B79" t="inlineStr">
        <is>
          <t>CRPU SP Equity</t>
        </is>
      </c>
      <c r="C79" t="n">
        <v>617</v>
      </c>
      <c r="D79" t="inlineStr">
        <is>
          <t>WS</t>
        </is>
      </c>
      <c r="E79" t="inlineStr">
        <is>
          <t>WS4</t>
        </is>
      </c>
    </row>
    <row r="80">
      <c r="A80" t="inlineStr">
        <is>
          <t>DCRU.SI</t>
        </is>
      </c>
      <c r="B80" t="inlineStr">
        <is>
          <t>DCRU SP Equity</t>
        </is>
      </c>
      <c r="C80" t="n">
        <v>625</v>
      </c>
      <c r="D80" t="inlineStr">
        <is>
          <t>XA</t>
        </is>
      </c>
      <c r="E80" t="inlineStr">
        <is>
          <t>XA4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Dividends use Bloomberg DVD_HIST (BDS DVD_HIST_ALL)</t>
        </is>
      </c>
    </row>
    <row r="2">
      <c r="A2" t="inlineStr"/>
    </row>
    <row r="3">
      <c r="A3" t="inlineStr">
        <is>
          <t>Function: BDS(security, "DVD_HIST_ALL", "Headers=Y", DVD_START_DT, DVD_END_DT)</t>
        </is>
      </c>
    </row>
    <row r="4">
      <c r="A4" t="inlineStr">
        <is>
          <t>Date overrides MUST be DVD_START_DT / DVD_END_DT (yyyymmdd).</t>
        </is>
      </c>
    </row>
    <row r="5">
      <c r="A5" t="inlineStr">
        <is>
          <t>Do NOT use StartDateTime / EndDateTime — those cause: Invalid override field: EndDateTime.</t>
        </is>
      </c>
    </row>
    <row r="6">
      <c r="A6" t="inlineStr">
        <is>
          <t>Control!B8 = DVD_HIST_ALL (or DVD_HIST if your terminal prefers that field).</t>
        </is>
      </c>
    </row>
    <row r="7">
      <c r="A7" t="inlineStr"/>
    </row>
    <row r="8">
      <c r="A8" t="inlineStr">
        <is>
          <t>Layout:</t>
        </is>
      </c>
    </row>
    <row r="9">
      <c r="A9" t="inlineStr">
        <is>
          <t xml:space="preserve">  • Dividends sheet: each ticker owns 8 columns (side-by-side) so histories do not clash.</t>
        </is>
      </c>
    </row>
    <row r="10">
      <c r="A10" t="inlineStr">
        <is>
          <t xml:space="preserve">  • Row 3 = Yahoo ticker label (D05.SI, O39.SI, …) — NOT only DBS.</t>
        </is>
      </c>
    </row>
    <row r="11">
      <c r="A11" t="inlineStr">
        <is>
          <t xml:space="preserve">  • Row 4 = BDS formula; spill shows Ex-Date, Dividend Amount, Dividend Type, …</t>
        </is>
      </c>
    </row>
    <row r="12">
      <c r="A12" t="inlineStr">
        <is>
          <t xml:space="preserve">  • Dividends_Index lists every ticker and its starting column.</t>
        </is>
      </c>
    </row>
    <row r="13">
      <c r="A13" t="inlineStr"/>
    </row>
    <row r="14">
      <c r="A14" t="inlineStr">
        <is>
          <t>Special dividends:</t>
        </is>
      </c>
    </row>
    <row r="15">
      <c r="A15" t="inlineStr">
        <is>
          <t xml:space="preserve">  DVD_HIST lists Type = Regular / Interim / Final / Special / Stock separately.</t>
        </is>
      </c>
    </row>
    <row r="16">
      <c r="A16" t="inlineStr">
        <is>
          <t xml:space="preserve">  It does not auto-sum. bbg_to_csv.py sums cash DPS per Ex-Date and ticker,</t>
        </is>
      </c>
    </row>
    <row r="17">
      <c r="A17" t="inlineStr">
        <is>
          <t xml:space="preserve">  drops Stock dividends, keeps Special cash (Yahoo-like). Edit converter to exclude Special if needed.</t>
        </is>
      </c>
    </row>
    <row r="18">
      <c r="A18" t="inlineStr"/>
    </row>
    <row r="19">
      <c r="A19" t="inlineStr">
        <is>
          <t>After refresh: python bloomberg/bbg_to_csv.py --xlsx bloomberg/SG_Bloomberg_Historical_Pull.xlsx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70" customWidth="1" min="3" max="3"/>
  </cols>
  <sheetData>
    <row r="1">
      <c r="A1" s="1" t="inlineStr">
        <is>
          <t>Optional: one-ticker DVD_HIST_ALL — inspect Special vs Regular</t>
        </is>
      </c>
    </row>
    <row r="3">
      <c r="A3" t="inlineStr">
        <is>
          <t>SelectYahoo</t>
        </is>
      </c>
      <c r="B3" t="inlineStr">
        <is>
          <t>D05.SI</t>
        </is>
      </c>
      <c r="C3" t="inlineStr">
        <is>
          <t>← change me (e.g. O39.SI). Default D05.SI is DBS only as an example.</t>
        </is>
      </c>
    </row>
    <row r="4">
      <c r="A4" t="inlineStr">
        <is>
          <t>BloombergTicker</t>
        </is>
      </c>
      <c r="B4">
        <f>IFERROR(INDEX(Universe!B:B,MATCH(B3,Universe!A:A,0)),"")</f>
        <v/>
      </c>
    </row>
    <row r="6">
      <c r="A6" t="inlineStr">
        <is>
          <t>BDS DVD_HIST_ALL (spills below)</t>
        </is>
      </c>
    </row>
    <row r="7">
      <c r="A7">
        <f>BDS(B4,Control!$B$8,"Headers=Y","DVD_START_DT="&amp;TEXT(Control!$B$2,"yyyymmdd"),"DVD_END_DT="&amp;TEXT(Control!$B$3,"yyyymmdd"))</f>
        <v/>
      </c>
    </row>
    <row r="9">
      <c r="A9" t="inlineStr">
        <is>
          <t>After refresh, point these SUMIFs at your Amount and Type columns in the spill:</t>
        </is>
      </c>
    </row>
    <row r="10">
      <c r="A10" t="inlineStr">
        <is>
          <t>Sum ALL amounts (example B8:B500):</t>
        </is>
      </c>
      <c r="B10">
        <f>IFERROR(SUM(B8:B500),0)</f>
        <v/>
      </c>
    </row>
    <row r="11">
      <c r="A11" t="inlineStr">
        <is>
          <t>Sum Ordinary (Regular/Interim/Final):</t>
        </is>
      </c>
      <c r="B11">
        <f>IFERROR(SUMIF(C8:C500,"*Regular*",B8:B500)+SUMIF(C8:C500,"*Interim*",B8:B500)+SUMIF(C8:C500,"*Final*",B8:B500),0)</f>
        <v/>
      </c>
    </row>
    <row r="12">
      <c r="A12" t="inlineStr">
        <is>
          <t>Sum Special only:</t>
        </is>
      </c>
      <c r="B12">
        <f>IFERROR(SUMIF(C8:C500,"*Special*",B8:B500),0)</f>
        <v/>
      </c>
    </row>
    <row r="14">
      <c r="A14" t="inlineStr">
        <is>
          <t>Adjust column letters to match your BDS spill (Amount / Type).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FAQ — Book BQ error / Dividends Special / Only DBS dates</t>
        </is>
      </c>
    </row>
    <row r="2">
      <c r="A2" t="inlineStr"/>
    </row>
    <row r="3">
      <c r="A3" t="inlineStr">
        <is>
          <t>1) Book value Enumeration Error and BQ</t>
        </is>
      </c>
    </row>
    <row r="4">
      <c r="A4" t="inlineStr">
        <is>
          <t xml:space="preserve">   Cause: Per=BQ is invalid in Bloomberg BDH.</t>
        </is>
      </c>
    </row>
    <row r="5">
      <c r="A5" t="inlineStr">
        <is>
          <t xml:space="preserve">   Fix: use Per=M (monthly) or Per=Q (quarterly). Never BQ.</t>
        </is>
      </c>
    </row>
    <row r="6">
      <c r="A6" t="inlineStr"/>
    </row>
    <row r="7">
      <c r="A7" t="inlineStr">
        <is>
          <t>2) Dividend history — use DVD_HIST (BDS DVD_HIST_ALL)</t>
        </is>
      </c>
    </row>
    <row r="8">
      <c r="A8" t="inlineStr">
        <is>
          <t xml:space="preserve">   Overrides: DVD_START_DT / DVD_END_DT (yyyymmdd). Never EndDateTime.</t>
        </is>
      </c>
    </row>
    <row r="9">
      <c r="A9" t="inlineStr">
        <is>
          <t xml:space="preserve">   Dividends sheet has one BDS block per ticker (see Dividends_Index).</t>
        </is>
      </c>
    </row>
    <row r="10">
      <c r="A10" t="inlineStr">
        <is>
          <t xml:space="preserve">   Special = dividend type line, not a sum. Use Dividends_Detail SUMIF for totals.</t>
        </is>
      </c>
    </row>
    <row r="11">
      <c r="A11" t="inlineStr"/>
    </row>
    <row r="12">
      <c r="A12" t="inlineStr">
        <is>
          <t>3) Why only DBS dates before?</t>
        </is>
      </c>
    </row>
    <row r="13">
      <c r="A13" t="inlineStr">
        <is>
          <t xml:space="preserve">   Old Prices/Book used Dts=S only on first ticker (D05.SI / DBS).</t>
        </is>
      </c>
    </row>
    <row r="14">
      <c r="A14" t="inlineStr">
        <is>
          <t xml:space="preserve">   Now EVERY ticker has its own Date|Value block (Dts=S). Scroll right / see Index sheets.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Export checklist → data/sg/raw/</t>
        </is>
      </c>
    </row>
    <row r="2">
      <c r="A2" t="inlineStr"/>
    </row>
    <row r="3">
      <c r="A3" t="inlineStr">
        <is>
          <t>After all sheets show numbers (not #N/A Requesting Data...):</t>
        </is>
      </c>
    </row>
    <row r="4">
      <c r="A4" t="inlineStr"/>
    </row>
    <row r="5">
      <c r="A5" t="inlineStr">
        <is>
          <t>Option A — Automated (recommended)</t>
        </is>
      </c>
    </row>
    <row r="6">
      <c r="A6" t="inlineStr">
        <is>
          <t xml:space="preserve">  1. Save this workbook (formulas calculated / values cached).</t>
        </is>
      </c>
    </row>
    <row r="7">
      <c r="A7" t="inlineStr">
        <is>
          <t xml:space="preserve">  2. Confirm Prices/Book: each ticker has its own Date column (scroll right).</t>
        </is>
      </c>
    </row>
    <row r="8">
      <c r="A8" t="inlineStr">
        <is>
          <t xml:space="preserve">  3. Refresh Dividends (DVD_HIST_ALL blocks).</t>
        </is>
      </c>
    </row>
    <row r="9">
      <c r="A9" t="inlineStr">
        <is>
          <t xml:space="preserve">  4. Run:</t>
        </is>
      </c>
    </row>
    <row r="10">
      <c r="A10" t="inlineStr">
        <is>
          <t xml:space="preserve">       python bloomberg/bbg_to_csv.py --xlsx bloomberg/SG_Bloomberg_Historical_Pull.xlsx</t>
        </is>
      </c>
    </row>
    <row r="11">
      <c r="A11" t="inlineStr">
        <is>
          <t xml:space="preserve">  5. Confirm data/sg/raw/*.csv then: python main.py --market sg --skip-download</t>
        </is>
      </c>
    </row>
    <row r="12">
      <c r="A12" t="inlineStr"/>
    </row>
    <row r="13">
      <c r="A13" t="inlineStr">
        <is>
          <t>Validation</t>
        </is>
      </c>
    </row>
    <row r="14">
      <c r="A14" t="inlineStr">
        <is>
          <t xml:space="preserve">  • Prices/Book: per-ticker Date|Value blocks (not DBS-only dates)</t>
        </is>
      </c>
    </row>
    <row r="15">
      <c r="A15" t="inlineStr">
        <is>
          <t xml:space="preserve">  • Dividends: BDS DVD_HIST_ALL + DVD_START_DT / DVD_END_DT</t>
        </is>
      </c>
    </row>
    <row r="16">
      <c r="A16" t="inlineStr">
        <is>
          <t xml:space="preserve">  • Book: Per=M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2026-09-05T06:36:40Z</dcterms:created>
  <dcterms:modified xmlns:dcterms="http://purl.org/dc/terms/" xmlns:xsi="http://www.w3.org/2001/XMLSchema-instance" xsi:type="dcterms:W3CDTF">2026-09-05T06:36:40Z</dcterms:modified>
</cp:coreProperties>
</file>